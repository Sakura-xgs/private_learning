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ye-project\03.CIG01\02.src\CIG01_APP\UserCode\APP\signal\"/>
    </mc:Choice>
  </mc:AlternateContent>
  <xr:revisionPtr revIDLastSave="0" documentId="13_ncr:1_{11704DF3-671B-41F4-8DFC-76A3ED4AA68C}" xr6:coauthVersionLast="47" xr6:coauthVersionMax="47" xr10:uidLastSave="{00000000-0000-0000-0000-000000000000}"/>
  <bookViews>
    <workbookView xWindow="-110" yWindow="-110" windowWidth="38620" windowHeight="21100" tabRatio="679" activeTab="4" xr2:uid="{00000000-000D-0000-FFFF-FFFF00000000}"/>
  </bookViews>
  <sheets>
    <sheet name="寄存器表（参数）" sheetId="1" r:id="rId1"/>
    <sheet name="寄存器表（实时寄存器数据）" sheetId="2" r:id="rId2"/>
    <sheet name="开关量表（常规告警、特殊告警）" sheetId="3" r:id="rId3"/>
    <sheet name="开关量表（信号状态）" sheetId="4" r:id="rId4"/>
    <sheet name="#生成配置文件#" sheetId="5" r:id="rId5"/>
  </sheets>
  <calcPr calcId="191029"/>
</workbook>
</file>

<file path=xl/calcChain.xml><?xml version="1.0" encoding="utf-8"?>
<calcChain xmlns="http://schemas.openxmlformats.org/spreadsheetml/2006/main">
  <c r="A8" i="2" l="1"/>
  <c r="A9" i="2"/>
  <c r="A10" i="2"/>
  <c r="A11" i="2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" i="3"/>
  <c r="A4" i="3"/>
  <c r="A3" i="3"/>
  <c r="A2" i="3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7" i="2"/>
  <c r="A6" i="2"/>
  <c r="A5" i="2"/>
  <c r="A4" i="2"/>
  <c r="A3" i="2"/>
  <c r="A2" i="2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<sst xmlns="http://schemas.openxmlformats.org/spreadsheetml/2006/main" count="142" uniqueCount="135">
  <si>
    <t>SignalID</t>
  </si>
  <si>
    <r>
      <rPr>
        <b/>
        <i/>
        <sz val="14"/>
        <color indexed="8"/>
        <rFont val="宋体"/>
        <family val="3"/>
        <charset val="134"/>
      </rPr>
      <t>S</t>
    </r>
    <r>
      <rPr>
        <b/>
        <i/>
        <sz val="14"/>
        <color indexed="8"/>
        <rFont val="宋体"/>
        <family val="3"/>
        <charset val="134"/>
      </rPr>
      <t>ignal</t>
    </r>
    <r>
      <rPr>
        <b/>
        <i/>
        <sz val="14"/>
        <color indexed="8"/>
        <rFont val="宋体"/>
        <family val="3"/>
        <charset val="134"/>
      </rPr>
      <t>EnName</t>
    </r>
  </si>
  <si>
    <r>
      <rPr>
        <b/>
        <i/>
        <sz val="14"/>
        <color indexed="8"/>
        <rFont val="宋体"/>
        <family val="3"/>
        <charset val="134"/>
      </rPr>
      <t>S</t>
    </r>
    <r>
      <rPr>
        <b/>
        <i/>
        <sz val="14"/>
        <color indexed="8"/>
        <rFont val="宋体"/>
        <family val="3"/>
        <charset val="134"/>
      </rPr>
      <t>ignalCh</t>
    </r>
    <r>
      <rPr>
        <b/>
        <i/>
        <sz val="14"/>
        <color indexed="8"/>
        <rFont val="宋体"/>
        <family val="3"/>
        <charset val="134"/>
      </rPr>
      <t>Name</t>
    </r>
  </si>
  <si>
    <t>Default Value</t>
  </si>
  <si>
    <t>Max Value</t>
  </si>
  <si>
    <t>Min Value</t>
  </si>
  <si>
    <t>Zoom</t>
  </si>
  <si>
    <t>Offset</t>
  </si>
  <si>
    <t>MBMS_SET_SIG_ID_BEGIN_FLAG</t>
  </si>
  <si>
    <t>设置信号开始位置</t>
  </si>
  <si>
    <t>MBMS_SET_SIG_ID_EXT_EEPROM_TEST_HIGH_FREQ_VAL</t>
  </si>
  <si>
    <t>eeprom高频测试参数</t>
  </si>
  <si>
    <t>MBMS_SET_SIG_ID_HIGH_FREQ_END_FLAG</t>
  </si>
  <si>
    <t>高频设置信号结束位置</t>
  </si>
  <si>
    <t>MBMS_SET_SIG_ID_EXT_EEPROM_TEST_VAL</t>
  </si>
  <si>
    <t>eeprom测试变量</t>
  </si>
  <si>
    <t>MBMS_SET_SIG_ID_SN1</t>
  </si>
  <si>
    <t>SN1</t>
  </si>
  <si>
    <t>MBMS_SET_SIG_ID_SN2</t>
  </si>
  <si>
    <t>SN2</t>
  </si>
  <si>
    <t>MBMS_SET_SIG_ID_SN3</t>
  </si>
  <si>
    <t>SN3</t>
  </si>
  <si>
    <t>MBMS_SET_SIG_ID_SN4</t>
  </si>
  <si>
    <t>SN4</t>
  </si>
  <si>
    <t>MBMS_SET_SIG_ID_SN5</t>
  </si>
  <si>
    <t>SN5</t>
  </si>
  <si>
    <t>MBMS_SET_SIG_ID_SN6</t>
  </si>
  <si>
    <t>SN6</t>
  </si>
  <si>
    <t>MBMS_SET_SIG_ID_SN7</t>
  </si>
  <si>
    <t>SN7</t>
  </si>
  <si>
    <t>MBMS_SET_SIG_ID_SN8</t>
  </si>
  <si>
    <t>SN8</t>
  </si>
  <si>
    <t>MBMS_SET_SIG_ID_SN9</t>
  </si>
  <si>
    <t>SN9</t>
  </si>
  <si>
    <t>MBMS_SET_SIG_ID_SN10</t>
  </si>
  <si>
    <t>SN10</t>
  </si>
  <si>
    <t>MBMS_SET_SIG_ID_SN11</t>
  </si>
  <si>
    <t>SN11</t>
  </si>
  <si>
    <t>MBMS_SET_SIG_ID_SN12</t>
  </si>
  <si>
    <t>SN12</t>
  </si>
  <si>
    <t>MBMS_SET_SIG_ID_SN13</t>
  </si>
  <si>
    <t>SN13</t>
  </si>
  <si>
    <t>MBMS_SET_SIG_ID_SN14</t>
  </si>
  <si>
    <t>SN14</t>
  </si>
  <si>
    <t>MBMS_SET_SIG_ID_SN15</t>
  </si>
  <si>
    <t>SN15</t>
  </si>
  <si>
    <t>MBMS_SET_SIG_ID_SN16</t>
  </si>
  <si>
    <t>SN16</t>
  </si>
  <si>
    <t>MBMS_SET_SIG_ID_END_FLAG</t>
  </si>
  <si>
    <t>设置信号结束位置</t>
  </si>
  <si>
    <t xml:space="preserve">  </t>
  </si>
  <si>
    <t>MBMS_SAM_SIG_ID_BEGIN_FLAG</t>
  </si>
  <si>
    <t>MBMS采集信号开始位置</t>
  </si>
  <si>
    <t>MBMS_SAM_SIG_ID_UPDATE_STATE</t>
  </si>
  <si>
    <t>系统升级状态</t>
  </si>
  <si>
    <t>PCB温度2</t>
  </si>
  <si>
    <t>MBMS_SAM_SIG_ID_CC1_VOLTAGE_A</t>
  </si>
  <si>
    <t>cc1电压B</t>
  </si>
  <si>
    <t>MBMS_SAM_SIG_ID_SOFTWARE_VERSION_1</t>
  </si>
  <si>
    <t>软件版本号</t>
  </si>
  <si>
    <t>MBMS_SAM_SIG_ID_SOFTWARE_VERSION_2</t>
  </si>
  <si>
    <t>MBMS_SAM_SIG_ID_SOFTWARE_VERSION_3</t>
  </si>
  <si>
    <t>MBMS_SAM_SIG_ID_SOFTWARE_VERSION_4</t>
  </si>
  <si>
    <t>MBMS_SAM_SIG_ID_SOFTWARE_VERSION_5</t>
  </si>
  <si>
    <t>MBMS_SAM_SIG_ID_SOFTWARE_VERSION_6</t>
  </si>
  <si>
    <t>MBMS_SAM_SIG_ID_SOFTWARE_VERSION_7</t>
  </si>
  <si>
    <t>MBMS_SAM_SIG_ID_SOFTWARE_VERSION_8</t>
  </si>
  <si>
    <t>MBMS_SAM_SIG_ID_HARDWARE_VERSION_1</t>
  </si>
  <si>
    <t>硬件版本号</t>
  </si>
  <si>
    <t>MBMS_SAM_SIG_ID_HARDWARE_VERSION_2</t>
  </si>
  <si>
    <t>MBMS_SAM_SIG_ID_HARDWARE_VERSION_3</t>
  </si>
  <si>
    <t>MBMS_SAM_SIG_ID_HARDWARE_VERSION_4</t>
  </si>
  <si>
    <t>MBMS_SAM_SIG_ID_HARDWARE_VERSION_5</t>
  </si>
  <si>
    <t>MBMS_SAM_SIG_ID_HARDWARE_VERSION_6</t>
  </si>
  <si>
    <t>MBMS_SAM_SIG_ID_HARDWARE_VERSION_7</t>
  </si>
  <si>
    <t>MBMS_SAM_SIG_ID_HARDWARE_VERSION_8</t>
  </si>
  <si>
    <t>MBMS_SAM_SIG_ID_END_FLAG</t>
  </si>
  <si>
    <t>MBMS采集信号结束位置</t>
  </si>
  <si>
    <t>ParamEnName</t>
  </si>
  <si>
    <t>ParamName</t>
  </si>
  <si>
    <t>ALARM_ID_EVENT_BEGIN_FLAG</t>
  </si>
  <si>
    <t>事件信号开始位置</t>
  </si>
  <si>
    <t>ALARM_ID_UART_COMM_ERR</t>
  </si>
  <si>
    <t>串口通信故障</t>
  </si>
  <si>
    <t>ALARM_ID_EEPROM_ERROR</t>
  </si>
  <si>
    <t>eeprom故障</t>
  </si>
  <si>
    <t>ALARM_ID_EVENT_END_FLAG</t>
  </si>
  <si>
    <t>事件信号结束位置</t>
  </si>
  <si>
    <t>SIGNAL_STATUS_BEGIN_FLAG</t>
  </si>
  <si>
    <t>信号状态开始标志</t>
  </si>
  <si>
    <t>SIGNAL_STATUS_DI_A_GUN_POWER</t>
  </si>
  <si>
    <t>A枪辅助电源反馈</t>
  </si>
  <si>
    <t>SIGNAL_STATUS_DI_B_GUN_POWER</t>
  </si>
  <si>
    <t>B枪辅助电源反馈</t>
  </si>
  <si>
    <t>SIGNAL_STATUS_DI_A_GUN_LOCK</t>
  </si>
  <si>
    <t>A枪电子锁反馈</t>
  </si>
  <si>
    <t>SIGNAL_STATUS_DI_B_GUN_LOCK</t>
  </si>
  <si>
    <t>B枪电子锁反馈</t>
  </si>
  <si>
    <t>SIGNAL_STATUS_DO_A_GUN_SUPER</t>
  </si>
  <si>
    <t>A枪超级充电控制</t>
  </si>
  <si>
    <t>SIGNAL_STATUS_DO_B_GUN_SUPER</t>
  </si>
  <si>
    <t>B枪超级充电控制</t>
  </si>
  <si>
    <t>SIGNAL_STATUS_DO_A_GUN_POWER_24V</t>
  </si>
  <si>
    <t>A枪24V辅助电源输出控制</t>
  </si>
  <si>
    <t>SIGNAL_STATUS_DO_B_GUN_POWER_24V</t>
  </si>
  <si>
    <t>B枪24V辅助电源输出控制</t>
  </si>
  <si>
    <t>SIGNAL_STATUS_DO_A_GUN_POWER_12V</t>
  </si>
  <si>
    <t>A枪12V辅助电源输出控制</t>
  </si>
  <si>
    <t>SIGNAL_STATUS_DO_B_GUN_POWER_12V</t>
  </si>
  <si>
    <t>B枪12V辅助电源输出控制</t>
  </si>
  <si>
    <t>SIGNAL_STATUS_DO_A_GUN_POWER_GND</t>
  </si>
  <si>
    <t>A枪辅助电源地控制</t>
  </si>
  <si>
    <t>SIGNAL_STATUS_DO_B_GUN_POWER_GND</t>
  </si>
  <si>
    <t>B枪辅助电源地控制</t>
  </si>
  <si>
    <t>SIGNAL_STATUS_DO_A_GUN_LOCK</t>
  </si>
  <si>
    <t>A枪电子锁控制</t>
  </si>
  <si>
    <t>SIGNAL_STATUS_DO_B_GUN_LOCK</t>
  </si>
  <si>
    <t>B枪电子锁控制</t>
  </si>
  <si>
    <t>SIGNAL_STATUS_FACTORY_MODE</t>
  </si>
  <si>
    <t>生产测试模式</t>
  </si>
  <si>
    <t>SIGNAL_STATUS_END_FLAG</t>
  </si>
  <si>
    <t>信号状态结束标志</t>
  </si>
  <si>
    <t>MBMS_SAM_SIG_ID_CC1_VOLTAGE_B</t>
    <phoneticPr fontId="3" type="noConversion"/>
  </si>
  <si>
    <t>MBMS_SAM_SIG_ID_CC1_VOLTAGE_A_AD_RAW</t>
    <phoneticPr fontId="3" type="noConversion"/>
  </si>
  <si>
    <t>MBMS_SAM_SIG_ID_CC1_VOLTAGE_B_AD_RAW</t>
    <phoneticPr fontId="3" type="noConversion"/>
  </si>
  <si>
    <t>MBMS_SAM_SIG_ID_PCB_TEMP1</t>
    <phoneticPr fontId="3" type="noConversion"/>
  </si>
  <si>
    <t>MBMS_SAM_SIG_ID_PCB_TEMP1_AD_RAW</t>
    <phoneticPr fontId="3" type="noConversion"/>
  </si>
  <si>
    <t>MBMS_SAM_SIG_ID_PCB_TEMP2</t>
    <phoneticPr fontId="3" type="noConversion"/>
  </si>
  <si>
    <t>MBMS_SAM_SIG_ID_PCB_TEMP2_AD_RAW</t>
    <phoneticPr fontId="3" type="noConversion"/>
  </si>
  <si>
    <t>cc1电压A</t>
    <phoneticPr fontId="3" type="noConversion"/>
  </si>
  <si>
    <t>cc1电压A, ad原始值</t>
    <phoneticPr fontId="3" type="noConversion"/>
  </si>
  <si>
    <t>cc1电压B, ad原始值</t>
    <phoneticPr fontId="3" type="noConversion"/>
  </si>
  <si>
    <t>PCB温度1</t>
    <phoneticPr fontId="3" type="noConversion"/>
  </si>
  <si>
    <t>PCB温度1, ad原始值</t>
    <phoneticPr fontId="3" type="noConversion"/>
  </si>
  <si>
    <t>PCB温度2, ad原始值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</si>
</sst>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indexed="8"/>
      <name val="宋体"/>
      <charset val="134"/>
    </font>
    <font>
      <b/>
      <i/>
      <sz val="14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1" xfId="1" applyFill="1" applyBorder="1">
      <alignment vertical="center"/>
    </xf>
    <xf numFmtId="0" fontId="0" fillId="5" borderId="0" xfId="0" applyFill="1">
      <alignment vertical="center"/>
    </xf>
    <xf numFmtId="0" fontId="1" fillId="2" borderId="2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2" fillId="7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2" fillId="5" borderId="1" xfId="0" applyFont="1" applyFill="1" applyBorder="1">
      <alignment vertical="center"/>
    </xf>
  </cellXfs>
  <cellStyles count="2">
    <cellStyle name="常规" xfId="0" builtinId="0"/>
    <cellStyle name="常规 3" xfId="1" xr:uid="{00000000-0005-0000-0000-000031000000}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638175</xdr:colOff>
      <xdr:row>3</xdr:row>
      <xdr:rowOff>28575</xdr:rowOff>
    </xdr:from>
    <xdr:to>
      <xdr:col>5</xdr:col>
      <xdr:colOff>85725</xdr:colOff>
      <xdr:row>7</xdr:row>
      <xdr:rowOff>66675</xdr:rowOff>
    </xdr:to>
    <xdr:sp macro="[0]!CreateHeadFile_Click" textlink="">
      <xdr:nvSpPr>
        <xdr:cNvPr id="3" name="圆角矩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>
        <a:xfrm>
          <a:off x="1257300" y="561975"/>
          <a:ext cx="1971675" cy="749300"/>
        </a:xfrm>
        <a:custGeom>
          <a:avLst/>
          <a:gdLst>
            <a:gd name="T0" fmla="*/ 35009 w 2185146"/>
            <a:gd name="T1" fmla="*/ 35009 h 717177"/>
            <a:gd name="T2" fmla="*/ 2150136 w 2185146"/>
            <a:gd name="T3" fmla="*/ 682167 h 717177"/>
          </a:gdLst>
          <a:ahLst/>
          <a:cxnLst>
            <a:cxn ang="0">
              <a:pos x="0" y="119531"/>
            </a:cxn>
            <a:cxn ang="0">
              <a:pos x="0" y="119531"/>
            </a:cxn>
            <a:cxn ang="0">
              <a:pos x="119530" y="0"/>
            </a:cxn>
            <a:cxn ang="0">
              <a:pos x="2065614" y="0"/>
            </a:cxn>
            <a:cxn ang="0">
              <a:pos x="2065613" y="0"/>
            </a:cxn>
            <a:cxn ang="0">
              <a:pos x="2185145" y="119531"/>
            </a:cxn>
            <a:cxn ang="0">
              <a:pos x="2185146" y="597645"/>
            </a:cxn>
            <a:cxn ang="0">
              <a:pos x="2185146" y="597645"/>
            </a:cxn>
            <a:cxn ang="0">
              <a:pos x="2065615" y="717176"/>
            </a:cxn>
            <a:cxn ang="0">
              <a:pos x="119531" y="717177"/>
            </a:cxn>
            <a:cxn ang="0">
              <a:pos x="119531" y="717177"/>
            </a:cxn>
            <a:cxn ang="0">
              <a:pos x="0" y="597646"/>
            </a:cxn>
          </a:cxnLst>
          <a:rect l="T0" t="T1" r="T2" b="T3"/>
          <a:pathLst>
            <a:path w="2185146" h="717177">
              <a:moveTo>
                <a:pt x="0" y="119531"/>
              </a:moveTo>
              <a:lnTo>
                <a:pt x="0" y="119531"/>
              </a:lnTo>
              <a:cubicBezTo>
                <a:pt x="0" y="53515"/>
                <a:pt x="53515" y="0"/>
                <a:pt x="119530" y="0"/>
              </a:cubicBezTo>
              <a:lnTo>
                <a:pt x="2065614" y="0"/>
              </a:lnTo>
              <a:lnTo>
                <a:pt x="2065613" y="0"/>
              </a:lnTo>
              <a:cubicBezTo>
                <a:pt x="2131629" y="0"/>
                <a:pt x="2185145" y="53515"/>
                <a:pt x="2185145" y="119531"/>
              </a:cubicBezTo>
              <a:lnTo>
                <a:pt x="2185146" y="597645"/>
              </a:lnTo>
              <a:cubicBezTo>
                <a:pt x="2185146" y="663660"/>
                <a:pt x="2131630" y="717175"/>
                <a:pt x="2065615" y="717176"/>
              </a:cubicBezTo>
              <a:lnTo>
                <a:pt x="119531" y="717177"/>
              </a:lnTo>
              <a:cubicBezTo>
                <a:pt x="53515" y="717177"/>
                <a:pt x="0" y="663661"/>
                <a:pt x="0" y="597646"/>
              </a:cubicBezTo>
              <a:close/>
            </a:path>
          </a:pathLst>
        </a:custGeom>
        <a:gradFill rotWithShape="1">
          <a:gsLst>
            <a:gs pos="0">
              <a:srgbClr val="A6E4FF"/>
            </a:gs>
            <a:gs pos="35001">
              <a:srgbClr val="BFEDFF"/>
            </a:gs>
            <a:gs pos="100000">
              <a:srgbClr val="E6F9FF"/>
            </a:gs>
          </a:gsLst>
          <a:lin ang="16200000" scaled="1"/>
        </a:gradFill>
        <a:ln w="9525">
          <a:solidFill>
            <a:srgbClr val="46A9C4"/>
          </a:solidFill>
          <a:round/>
        </a:ln>
        <a:effectLst>
          <a:outerShdw dist="20000" dir="5400000" algn="ctr" rotWithShape="0">
            <a:srgbClr val="000000">
              <a:alpha val="38000"/>
            </a:srgbClr>
          </a:outerShdw>
        </a:effec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生成（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Calibri" panose="020F0502020204030204"/>
            </a:rPr>
            <a:t>.h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）头文件</a:t>
          </a:r>
        </a:p>
      </xdr:txBody>
    </xdr:sp>
    <xdr:clientData/>
  </xdr:twoCellAnchor>
  <xdr:twoCellAnchor>
    <xdr:from>
      <xdr:col>1</xdr:col>
      <xdr:colOff>647700</xdr:colOff>
      <xdr:row>10</xdr:row>
      <xdr:rowOff>0</xdr:rowOff>
    </xdr:from>
    <xdr:to>
      <xdr:col>5</xdr:col>
      <xdr:colOff>95250</xdr:colOff>
      <xdr:row>14</xdr:row>
      <xdr:rowOff>38100</xdr:rowOff>
    </xdr:to>
    <xdr:sp macro="[0]!CreateSetSignalMap" textlink="">
      <xdr:nvSpPr>
        <xdr:cNvPr id="5" name="圆角矩形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>
        <a:xfrm>
          <a:off x="1257300" y="1778000"/>
          <a:ext cx="1981200" cy="749300"/>
        </a:xfrm>
        <a:custGeom>
          <a:avLst/>
          <a:gdLst>
            <a:gd name="T0" fmla="*/ 35009 w 2185146"/>
            <a:gd name="T1" fmla="*/ 35009 h 717177"/>
            <a:gd name="T2" fmla="*/ 2150136 w 2185146"/>
            <a:gd name="T3" fmla="*/ 682167 h 717177"/>
          </a:gdLst>
          <a:ahLst/>
          <a:cxnLst>
            <a:cxn ang="0">
              <a:pos x="0" y="119531"/>
            </a:cxn>
            <a:cxn ang="0">
              <a:pos x="0" y="119531"/>
            </a:cxn>
            <a:cxn ang="0">
              <a:pos x="119530" y="0"/>
            </a:cxn>
            <a:cxn ang="0">
              <a:pos x="2065614" y="0"/>
            </a:cxn>
            <a:cxn ang="0">
              <a:pos x="2065613" y="0"/>
            </a:cxn>
            <a:cxn ang="0">
              <a:pos x="2185145" y="119531"/>
            </a:cxn>
            <a:cxn ang="0">
              <a:pos x="2185146" y="597645"/>
            </a:cxn>
            <a:cxn ang="0">
              <a:pos x="2185146" y="597645"/>
            </a:cxn>
            <a:cxn ang="0">
              <a:pos x="2065615" y="717176"/>
            </a:cxn>
            <a:cxn ang="0">
              <a:pos x="119531" y="717177"/>
            </a:cxn>
            <a:cxn ang="0">
              <a:pos x="119531" y="717177"/>
            </a:cxn>
            <a:cxn ang="0">
              <a:pos x="0" y="597646"/>
            </a:cxn>
          </a:cxnLst>
          <a:rect l="T0" t="T1" r="T2" b="T3"/>
          <a:pathLst>
            <a:path w="2185146" h="717177">
              <a:moveTo>
                <a:pt x="0" y="119531"/>
              </a:moveTo>
              <a:lnTo>
                <a:pt x="0" y="119531"/>
              </a:lnTo>
              <a:cubicBezTo>
                <a:pt x="0" y="53515"/>
                <a:pt x="53515" y="0"/>
                <a:pt x="119530" y="0"/>
              </a:cubicBezTo>
              <a:lnTo>
                <a:pt x="2065614" y="0"/>
              </a:lnTo>
              <a:lnTo>
                <a:pt x="2065613" y="0"/>
              </a:lnTo>
              <a:cubicBezTo>
                <a:pt x="2131629" y="0"/>
                <a:pt x="2185145" y="53515"/>
                <a:pt x="2185145" y="119531"/>
              </a:cubicBezTo>
              <a:lnTo>
                <a:pt x="2185146" y="597645"/>
              </a:lnTo>
              <a:cubicBezTo>
                <a:pt x="2185146" y="663660"/>
                <a:pt x="2131630" y="717175"/>
                <a:pt x="2065615" y="717176"/>
              </a:cubicBezTo>
              <a:lnTo>
                <a:pt x="119531" y="717177"/>
              </a:lnTo>
              <a:cubicBezTo>
                <a:pt x="53515" y="717177"/>
                <a:pt x="0" y="663661"/>
                <a:pt x="0" y="597646"/>
              </a:cubicBezTo>
              <a:close/>
            </a:path>
          </a:pathLst>
        </a:custGeom>
        <a:gradFill rotWithShape="1">
          <a:gsLst>
            <a:gs pos="0">
              <a:srgbClr val="A6E4FF"/>
            </a:gs>
            <a:gs pos="35001">
              <a:srgbClr val="BFEDFF"/>
            </a:gs>
            <a:gs pos="100000">
              <a:srgbClr val="E6F9FF"/>
            </a:gs>
          </a:gsLst>
          <a:lin ang="16200000" scaled="1"/>
        </a:gradFill>
        <a:ln w="9525">
          <a:solidFill>
            <a:srgbClr val="46A9C4"/>
          </a:solidFill>
          <a:round/>
        </a:ln>
        <a:effectLst>
          <a:outerShdw dist="20000" dir="5400000" algn="ctr" rotWithShape="0">
            <a:srgbClr val="000000">
              <a:alpha val="38000"/>
            </a:srgbClr>
          </a:outerShdw>
        </a:effec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生成（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Calibri" panose="020F0502020204030204"/>
            </a:rPr>
            <a:t>.c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）源文件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9"/>
  <sheetViews>
    <sheetView workbookViewId="0">
      <pane ySplit="1" topLeftCell="A2" activePane="bottomLeft" state="frozen"/>
      <selection pane="bottomLeft" activeCell="B33" sqref="B33"/>
    </sheetView>
  </sheetViews>
  <sheetFormatPr defaultColWidth="9" defaultRowHeight="14" x14ac:dyDescent="0.25"/>
  <cols>
    <col min="1" max="1" width="14.08984375" customWidth="1"/>
    <col min="2" max="2" width="52.90625" customWidth="1"/>
    <col min="3" max="3" width="42.453125" customWidth="1"/>
    <col min="4" max="4" width="22.08984375" customWidth="1"/>
    <col min="5" max="6" width="15.90625" customWidth="1"/>
    <col min="7" max="7" width="8" customWidth="1"/>
    <col min="8" max="8" width="11.08984375" customWidth="1"/>
    <col min="9" max="9" width="8.453125" customWidth="1"/>
    <col min="10" max="10" width="11" customWidth="1"/>
    <col min="11" max="11" width="13.08984375" customWidth="1"/>
    <col min="12" max="12" width="11.08984375" customWidth="1"/>
    <col min="13" max="13" width="15.90625" customWidth="1"/>
  </cols>
  <sheetData>
    <row r="1" spans="1:8" ht="30" customHeight="1" x14ac:dyDescent="0.25">
      <c r="A1" s="1" t="s">
        <v>0</v>
      </c>
      <c r="B1" s="1" t="s">
        <v>1</v>
      </c>
      <c r="C1" s="1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</row>
    <row r="2" spans="1:8" x14ac:dyDescent="0.25">
      <c r="A2" s="2">
        <f t="shared" ref="A2:A3" si="0">ROW()-2+1000</f>
        <v>1000</v>
      </c>
      <c r="B2" s="8" t="s">
        <v>8</v>
      </c>
      <c r="C2" s="2" t="s">
        <v>9</v>
      </c>
      <c r="D2" s="2">
        <v>0</v>
      </c>
      <c r="E2" s="2">
        <v>0</v>
      </c>
      <c r="F2" s="2">
        <v>0</v>
      </c>
      <c r="G2" s="2">
        <v>1</v>
      </c>
      <c r="H2" s="2">
        <v>0</v>
      </c>
    </row>
    <row r="3" spans="1:8" x14ac:dyDescent="0.25">
      <c r="A3" s="9">
        <f t="shared" si="0"/>
        <v>1001</v>
      </c>
      <c r="B3" s="10" t="s">
        <v>10</v>
      </c>
      <c r="C3" s="10" t="s">
        <v>11</v>
      </c>
      <c r="D3" s="9">
        <v>0</v>
      </c>
      <c r="E3" s="9">
        <v>65535</v>
      </c>
      <c r="F3" s="9">
        <v>0</v>
      </c>
      <c r="G3" s="9">
        <v>1</v>
      </c>
      <c r="H3" s="9">
        <v>0</v>
      </c>
    </row>
    <row r="4" spans="1:8" x14ac:dyDescent="0.25">
      <c r="A4" s="2">
        <f t="shared" ref="A4:A5" si="1">ROW()-2+1000</f>
        <v>1002</v>
      </c>
      <c r="B4" s="8" t="s">
        <v>12</v>
      </c>
      <c r="C4" s="2" t="s">
        <v>13</v>
      </c>
      <c r="D4" s="2">
        <v>0</v>
      </c>
      <c r="E4" s="2">
        <v>0</v>
      </c>
      <c r="F4" s="2">
        <v>0</v>
      </c>
      <c r="G4" s="2">
        <v>1</v>
      </c>
      <c r="H4" s="2">
        <v>0</v>
      </c>
    </row>
    <row r="5" spans="1:8" s="6" customFormat="1" x14ac:dyDescent="0.25">
      <c r="A5" s="11">
        <f t="shared" si="1"/>
        <v>1003</v>
      </c>
      <c r="B5" s="11" t="s">
        <v>14</v>
      </c>
      <c r="C5" s="12" t="s">
        <v>15</v>
      </c>
      <c r="D5" s="11">
        <v>0</v>
      </c>
      <c r="E5" s="11">
        <v>65535</v>
      </c>
      <c r="F5" s="11">
        <v>0</v>
      </c>
      <c r="G5" s="11">
        <v>1</v>
      </c>
      <c r="H5" s="11">
        <v>0</v>
      </c>
    </row>
    <row r="6" spans="1:8" x14ac:dyDescent="0.25">
      <c r="A6" s="3">
        <f t="shared" ref="A6:A22" si="2">ROW()-2+1000</f>
        <v>1004</v>
      </c>
      <c r="B6" s="4" t="s">
        <v>16</v>
      </c>
      <c r="C6" s="4" t="s">
        <v>17</v>
      </c>
      <c r="D6" s="3">
        <v>0</v>
      </c>
      <c r="E6" s="3">
        <v>65535</v>
      </c>
      <c r="F6" s="3">
        <v>0</v>
      </c>
      <c r="G6" s="3">
        <v>1</v>
      </c>
      <c r="H6" s="3">
        <v>0</v>
      </c>
    </row>
    <row r="7" spans="1:8" x14ac:dyDescent="0.25">
      <c r="A7" s="3">
        <f t="shared" si="2"/>
        <v>1005</v>
      </c>
      <c r="B7" s="4" t="s">
        <v>18</v>
      </c>
      <c r="C7" s="4" t="s">
        <v>19</v>
      </c>
      <c r="D7" s="3">
        <v>0</v>
      </c>
      <c r="E7" s="3">
        <v>65535</v>
      </c>
      <c r="F7" s="3">
        <v>0</v>
      </c>
      <c r="G7" s="3">
        <v>1</v>
      </c>
      <c r="H7" s="3">
        <v>0</v>
      </c>
    </row>
    <row r="8" spans="1:8" x14ac:dyDescent="0.25">
      <c r="A8" s="3">
        <f t="shared" si="2"/>
        <v>1006</v>
      </c>
      <c r="B8" s="4" t="s">
        <v>20</v>
      </c>
      <c r="C8" s="4" t="s">
        <v>21</v>
      </c>
      <c r="D8" s="3">
        <v>0</v>
      </c>
      <c r="E8" s="3">
        <v>65535</v>
      </c>
      <c r="F8" s="3">
        <v>0</v>
      </c>
      <c r="G8" s="3">
        <v>1</v>
      </c>
      <c r="H8" s="3">
        <v>0</v>
      </c>
    </row>
    <row r="9" spans="1:8" x14ac:dyDescent="0.25">
      <c r="A9" s="3">
        <f t="shared" si="2"/>
        <v>1007</v>
      </c>
      <c r="B9" s="4" t="s">
        <v>22</v>
      </c>
      <c r="C9" s="4" t="s">
        <v>23</v>
      </c>
      <c r="D9" s="3">
        <v>0</v>
      </c>
      <c r="E9" s="3">
        <v>65535</v>
      </c>
      <c r="F9" s="3">
        <v>0</v>
      </c>
      <c r="G9" s="3">
        <v>1</v>
      </c>
      <c r="H9" s="3">
        <v>0</v>
      </c>
    </row>
    <row r="10" spans="1:8" x14ac:dyDescent="0.25">
      <c r="A10" s="3">
        <f t="shared" si="2"/>
        <v>1008</v>
      </c>
      <c r="B10" s="4" t="s">
        <v>24</v>
      </c>
      <c r="C10" s="4" t="s">
        <v>25</v>
      </c>
      <c r="D10" s="3">
        <v>0</v>
      </c>
      <c r="E10" s="3">
        <v>65535</v>
      </c>
      <c r="F10" s="3">
        <v>0</v>
      </c>
      <c r="G10" s="3">
        <v>1</v>
      </c>
      <c r="H10" s="3">
        <v>0</v>
      </c>
    </row>
    <row r="11" spans="1:8" x14ac:dyDescent="0.25">
      <c r="A11" s="3">
        <f t="shared" si="2"/>
        <v>1009</v>
      </c>
      <c r="B11" s="4" t="s">
        <v>26</v>
      </c>
      <c r="C11" s="4" t="s">
        <v>27</v>
      </c>
      <c r="D11" s="3">
        <v>0</v>
      </c>
      <c r="E11" s="3">
        <v>65535</v>
      </c>
      <c r="F11" s="3">
        <v>0</v>
      </c>
      <c r="G11" s="3">
        <v>1</v>
      </c>
      <c r="H11" s="3">
        <v>0</v>
      </c>
    </row>
    <row r="12" spans="1:8" x14ac:dyDescent="0.25">
      <c r="A12" s="3">
        <f t="shared" si="2"/>
        <v>1010</v>
      </c>
      <c r="B12" s="4" t="s">
        <v>28</v>
      </c>
      <c r="C12" s="4" t="s">
        <v>29</v>
      </c>
      <c r="D12" s="3">
        <v>0</v>
      </c>
      <c r="E12" s="3">
        <v>65535</v>
      </c>
      <c r="F12" s="3">
        <v>0</v>
      </c>
      <c r="G12" s="3">
        <v>1</v>
      </c>
      <c r="H12" s="3">
        <v>0</v>
      </c>
    </row>
    <row r="13" spans="1:8" x14ac:dyDescent="0.25">
      <c r="A13" s="3">
        <f t="shared" si="2"/>
        <v>1011</v>
      </c>
      <c r="B13" s="4" t="s">
        <v>30</v>
      </c>
      <c r="C13" s="4" t="s">
        <v>31</v>
      </c>
      <c r="D13" s="3">
        <v>0</v>
      </c>
      <c r="E13" s="3">
        <v>65535</v>
      </c>
      <c r="F13" s="3">
        <v>0</v>
      </c>
      <c r="G13" s="3">
        <v>1</v>
      </c>
      <c r="H13" s="3">
        <v>0</v>
      </c>
    </row>
    <row r="14" spans="1:8" x14ac:dyDescent="0.25">
      <c r="A14" s="3">
        <f t="shared" si="2"/>
        <v>1012</v>
      </c>
      <c r="B14" s="4" t="s">
        <v>32</v>
      </c>
      <c r="C14" s="4" t="s">
        <v>33</v>
      </c>
      <c r="D14" s="3">
        <v>0</v>
      </c>
      <c r="E14" s="3">
        <v>65535</v>
      </c>
      <c r="F14" s="3">
        <v>0</v>
      </c>
      <c r="G14" s="3">
        <v>1</v>
      </c>
      <c r="H14" s="3">
        <v>0</v>
      </c>
    </row>
    <row r="15" spans="1:8" x14ac:dyDescent="0.25">
      <c r="A15" s="3">
        <f t="shared" si="2"/>
        <v>1013</v>
      </c>
      <c r="B15" s="4" t="s">
        <v>34</v>
      </c>
      <c r="C15" s="4" t="s">
        <v>35</v>
      </c>
      <c r="D15" s="3">
        <v>0</v>
      </c>
      <c r="E15" s="3">
        <v>65535</v>
      </c>
      <c r="F15" s="3">
        <v>0</v>
      </c>
      <c r="G15" s="3">
        <v>1</v>
      </c>
      <c r="H15" s="3">
        <v>0</v>
      </c>
    </row>
    <row r="16" spans="1:8" x14ac:dyDescent="0.25">
      <c r="A16" s="3">
        <f t="shared" si="2"/>
        <v>1014</v>
      </c>
      <c r="B16" s="4" t="s">
        <v>36</v>
      </c>
      <c r="C16" s="4" t="s">
        <v>37</v>
      </c>
      <c r="D16" s="3">
        <v>0</v>
      </c>
      <c r="E16" s="3">
        <v>65535</v>
      </c>
      <c r="F16" s="3">
        <v>0</v>
      </c>
      <c r="G16" s="3">
        <v>1</v>
      </c>
      <c r="H16" s="3">
        <v>0</v>
      </c>
    </row>
    <row r="17" spans="1:8" x14ac:dyDescent="0.25">
      <c r="A17" s="3">
        <f t="shared" si="2"/>
        <v>1015</v>
      </c>
      <c r="B17" s="4" t="s">
        <v>38</v>
      </c>
      <c r="C17" s="4" t="s">
        <v>39</v>
      </c>
      <c r="D17" s="3">
        <v>0</v>
      </c>
      <c r="E17" s="3">
        <v>65535</v>
      </c>
      <c r="F17" s="3">
        <v>0</v>
      </c>
      <c r="G17" s="3">
        <v>1</v>
      </c>
      <c r="H17" s="3">
        <v>0</v>
      </c>
    </row>
    <row r="18" spans="1:8" x14ac:dyDescent="0.25">
      <c r="A18" s="3">
        <f t="shared" si="2"/>
        <v>1016</v>
      </c>
      <c r="B18" s="4" t="s">
        <v>40</v>
      </c>
      <c r="C18" s="4" t="s">
        <v>41</v>
      </c>
      <c r="D18" s="3">
        <v>0</v>
      </c>
      <c r="E18" s="3">
        <v>65535</v>
      </c>
      <c r="F18" s="3">
        <v>0</v>
      </c>
      <c r="G18" s="3">
        <v>1</v>
      </c>
      <c r="H18" s="3">
        <v>0</v>
      </c>
    </row>
    <row r="19" spans="1:8" x14ac:dyDescent="0.25">
      <c r="A19" s="3">
        <f t="shared" si="2"/>
        <v>1017</v>
      </c>
      <c r="B19" s="4" t="s">
        <v>42</v>
      </c>
      <c r="C19" s="4" t="s">
        <v>43</v>
      </c>
      <c r="D19" s="3">
        <v>0</v>
      </c>
      <c r="E19" s="3">
        <v>65535</v>
      </c>
      <c r="F19" s="3">
        <v>0</v>
      </c>
      <c r="G19" s="3">
        <v>1</v>
      </c>
      <c r="H19" s="3">
        <v>0</v>
      </c>
    </row>
    <row r="20" spans="1:8" x14ac:dyDescent="0.25">
      <c r="A20" s="3">
        <f t="shared" si="2"/>
        <v>1018</v>
      </c>
      <c r="B20" s="4" t="s">
        <v>44</v>
      </c>
      <c r="C20" s="4" t="s">
        <v>45</v>
      </c>
      <c r="D20" s="3">
        <v>0</v>
      </c>
      <c r="E20" s="3">
        <v>65535</v>
      </c>
      <c r="F20" s="3">
        <v>0</v>
      </c>
      <c r="G20" s="3">
        <v>1</v>
      </c>
      <c r="H20" s="3">
        <v>0</v>
      </c>
    </row>
    <row r="21" spans="1:8" x14ac:dyDescent="0.25">
      <c r="A21" s="3">
        <f t="shared" si="2"/>
        <v>1019</v>
      </c>
      <c r="B21" s="4" t="s">
        <v>46</v>
      </c>
      <c r="C21" s="4" t="s">
        <v>47</v>
      </c>
      <c r="D21" s="3">
        <v>0</v>
      </c>
      <c r="E21" s="3">
        <v>65535</v>
      </c>
      <c r="F21" s="3">
        <v>0</v>
      </c>
      <c r="G21" s="3">
        <v>1</v>
      </c>
      <c r="H21" s="3">
        <v>0</v>
      </c>
    </row>
    <row r="22" spans="1:8" x14ac:dyDescent="0.25">
      <c r="A22" s="2">
        <f t="shared" si="2"/>
        <v>1020</v>
      </c>
      <c r="B22" s="8" t="s">
        <v>48</v>
      </c>
      <c r="C22" s="2" t="s">
        <v>49</v>
      </c>
      <c r="D22" s="2">
        <v>0</v>
      </c>
      <c r="E22" s="2">
        <v>0</v>
      </c>
      <c r="F22" s="2">
        <v>0</v>
      </c>
      <c r="G22" s="2">
        <v>1</v>
      </c>
      <c r="H22" s="2">
        <v>0</v>
      </c>
    </row>
    <row r="29" spans="1:8" x14ac:dyDescent="0.25">
      <c r="B29" t="s">
        <v>50</v>
      </c>
    </row>
  </sheetData>
  <phoneticPr fontId="3" type="noConversion"/>
  <dataValidations count="1">
    <dataValidation type="list" allowBlank="1" showInputMessage="1" showErrorMessage="1" sqref="F3" xr:uid="{00000000-0002-0000-0000-000000000000}"/>
  </dataValidations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8"/>
  <sheetViews>
    <sheetView zoomScale="115" zoomScaleNormal="115" workbookViewId="0">
      <selection activeCell="C8" sqref="C8"/>
    </sheetView>
  </sheetViews>
  <sheetFormatPr defaultColWidth="9" defaultRowHeight="14" x14ac:dyDescent="0.25"/>
  <cols>
    <col min="1" max="1" width="14.36328125" customWidth="1"/>
    <col min="2" max="2" width="52" customWidth="1"/>
    <col min="3" max="3" width="68.08984375" customWidth="1"/>
    <col min="4" max="4" width="14" customWidth="1"/>
    <col min="5" max="5" width="13.90625" customWidth="1"/>
    <col min="6" max="6" width="17.6328125" customWidth="1"/>
    <col min="7" max="7" width="14.90625" customWidth="1"/>
    <col min="8" max="8" width="12.08984375" customWidth="1"/>
    <col min="9" max="9" width="8.453125" customWidth="1"/>
    <col min="10" max="10" width="11" customWidth="1"/>
    <col min="11" max="11" width="11.6328125" customWidth="1"/>
    <col min="12" max="12" width="25.453125" customWidth="1"/>
    <col min="13" max="13" width="15.90625" customWidth="1"/>
  </cols>
  <sheetData>
    <row r="1" spans="1:3" ht="17.5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>
        <f t="shared" ref="A2:A27" si="0">ROW()-2+2000</f>
        <v>2000</v>
      </c>
      <c r="B2" s="2" t="s">
        <v>51</v>
      </c>
      <c r="C2" s="2" t="s">
        <v>52</v>
      </c>
    </row>
    <row r="3" spans="1:3" x14ac:dyDescent="0.25">
      <c r="A3" s="3">
        <f t="shared" si="0"/>
        <v>2001</v>
      </c>
      <c r="B3" s="4" t="s">
        <v>53</v>
      </c>
      <c r="C3" s="4" t="s">
        <v>54</v>
      </c>
    </row>
    <row r="4" spans="1:3" x14ac:dyDescent="0.25">
      <c r="A4" s="3">
        <f t="shared" si="0"/>
        <v>2002</v>
      </c>
      <c r="B4" s="4" t="s">
        <v>125</v>
      </c>
      <c r="C4" s="4" t="s">
        <v>132</v>
      </c>
    </row>
    <row r="5" spans="1:3" x14ac:dyDescent="0.25">
      <c r="A5" s="3">
        <f t="shared" si="0"/>
        <v>2003</v>
      </c>
      <c r="B5" s="4" t="s">
        <v>127</v>
      </c>
      <c r="C5" s="4" t="s">
        <v>55</v>
      </c>
    </row>
    <row r="6" spans="1:3" x14ac:dyDescent="0.25">
      <c r="A6" s="3">
        <f t="shared" si="0"/>
        <v>2004</v>
      </c>
      <c r="B6" s="4" t="s">
        <v>56</v>
      </c>
      <c r="C6" s="4" t="s">
        <v>129</v>
      </c>
    </row>
    <row r="7" spans="1:3" x14ac:dyDescent="0.25">
      <c r="A7" s="3">
        <f t="shared" si="0"/>
        <v>2005</v>
      </c>
      <c r="B7" s="4" t="s">
        <v>122</v>
      </c>
      <c r="C7" s="4" t="s">
        <v>57</v>
      </c>
    </row>
    <row r="8" spans="1:3" x14ac:dyDescent="0.25">
      <c r="A8" s="3">
        <f t="shared" si="0"/>
        <v>2006</v>
      </c>
      <c r="B8" s="4" t="s">
        <v>123</v>
      </c>
      <c r="C8" s="4" t="s">
        <v>130</v>
      </c>
    </row>
    <row r="9" spans="1:3" x14ac:dyDescent="0.25">
      <c r="A9" s="3">
        <f t="shared" si="0"/>
        <v>2007</v>
      </c>
      <c r="B9" s="4" t="s">
        <v>124</v>
      </c>
      <c r="C9" s="4" t="s">
        <v>131</v>
      </c>
    </row>
    <row r="10" spans="1:3" x14ac:dyDescent="0.25">
      <c r="A10" s="3">
        <f t="shared" si="0"/>
        <v>2008</v>
      </c>
      <c r="B10" s="4" t="s">
        <v>126</v>
      </c>
      <c r="C10" s="4" t="s">
        <v>133</v>
      </c>
    </row>
    <row r="11" spans="1:3" x14ac:dyDescent="0.25">
      <c r="A11" s="3">
        <f t="shared" si="0"/>
        <v>2009</v>
      </c>
      <c r="B11" s="4" t="s">
        <v>128</v>
      </c>
      <c r="C11" s="4" t="s">
        <v>134</v>
      </c>
    </row>
    <row r="12" spans="1:3" x14ac:dyDescent="0.25">
      <c r="A12" s="3">
        <f t="shared" si="0"/>
        <v>2010</v>
      </c>
      <c r="B12" s="4" t="s">
        <v>58</v>
      </c>
      <c r="C12" s="4" t="s">
        <v>59</v>
      </c>
    </row>
    <row r="13" spans="1:3" x14ac:dyDescent="0.25">
      <c r="A13" s="3">
        <f t="shared" si="0"/>
        <v>2011</v>
      </c>
      <c r="B13" s="4" t="s">
        <v>60</v>
      </c>
      <c r="C13" s="4"/>
    </row>
    <row r="14" spans="1:3" x14ac:dyDescent="0.25">
      <c r="A14" s="3">
        <f t="shared" si="0"/>
        <v>2012</v>
      </c>
      <c r="B14" s="4" t="s">
        <v>61</v>
      </c>
      <c r="C14" s="4"/>
    </row>
    <row r="15" spans="1:3" x14ac:dyDescent="0.25">
      <c r="A15" s="3">
        <f t="shared" si="0"/>
        <v>2013</v>
      </c>
      <c r="B15" s="4" t="s">
        <v>62</v>
      </c>
      <c r="C15" s="4"/>
    </row>
    <row r="16" spans="1:3" x14ac:dyDescent="0.25">
      <c r="A16" s="3">
        <f t="shared" si="0"/>
        <v>2014</v>
      </c>
      <c r="B16" s="4" t="s">
        <v>63</v>
      </c>
      <c r="C16" s="4"/>
    </row>
    <row r="17" spans="1:3" x14ac:dyDescent="0.25">
      <c r="A17" s="3">
        <f t="shared" si="0"/>
        <v>2015</v>
      </c>
      <c r="B17" s="4" t="s">
        <v>64</v>
      </c>
      <c r="C17" s="4"/>
    </row>
    <row r="18" spans="1:3" x14ac:dyDescent="0.25">
      <c r="A18" s="3">
        <f t="shared" si="0"/>
        <v>2016</v>
      </c>
      <c r="B18" s="4" t="s">
        <v>65</v>
      </c>
      <c r="C18" s="4"/>
    </row>
    <row r="19" spans="1:3" x14ac:dyDescent="0.25">
      <c r="A19" s="3">
        <f t="shared" si="0"/>
        <v>2017</v>
      </c>
      <c r="B19" s="4" t="s">
        <v>66</v>
      </c>
      <c r="C19" s="4"/>
    </row>
    <row r="20" spans="1:3" x14ac:dyDescent="0.25">
      <c r="A20" s="3">
        <f t="shared" si="0"/>
        <v>2018</v>
      </c>
      <c r="B20" s="4" t="s">
        <v>67</v>
      </c>
      <c r="C20" s="4" t="s">
        <v>68</v>
      </c>
    </row>
    <row r="21" spans="1:3" x14ac:dyDescent="0.25">
      <c r="A21" s="3">
        <f t="shared" si="0"/>
        <v>2019</v>
      </c>
      <c r="B21" s="4" t="s">
        <v>69</v>
      </c>
      <c r="C21" s="4"/>
    </row>
    <row r="22" spans="1:3" x14ac:dyDescent="0.25">
      <c r="A22" s="3">
        <f t="shared" si="0"/>
        <v>2020</v>
      </c>
      <c r="B22" s="4" t="s">
        <v>70</v>
      </c>
      <c r="C22" s="4"/>
    </row>
    <row r="23" spans="1:3" x14ac:dyDescent="0.25">
      <c r="A23" s="3">
        <f t="shared" si="0"/>
        <v>2021</v>
      </c>
      <c r="B23" s="4" t="s">
        <v>71</v>
      </c>
      <c r="C23" s="4"/>
    </row>
    <row r="24" spans="1:3" x14ac:dyDescent="0.25">
      <c r="A24" s="3">
        <f t="shared" si="0"/>
        <v>2022</v>
      </c>
      <c r="B24" s="4" t="s">
        <v>72</v>
      </c>
      <c r="C24" s="4"/>
    </row>
    <row r="25" spans="1:3" x14ac:dyDescent="0.25">
      <c r="A25" s="3">
        <f t="shared" si="0"/>
        <v>2023</v>
      </c>
      <c r="B25" s="4" t="s">
        <v>73</v>
      </c>
      <c r="C25" s="4"/>
    </row>
    <row r="26" spans="1:3" x14ac:dyDescent="0.25">
      <c r="A26" s="3">
        <f t="shared" si="0"/>
        <v>2024</v>
      </c>
      <c r="B26" s="4" t="s">
        <v>74</v>
      </c>
      <c r="C26" s="4"/>
    </row>
    <row r="27" spans="1:3" x14ac:dyDescent="0.25">
      <c r="A27" s="3">
        <f t="shared" si="0"/>
        <v>2025</v>
      </c>
      <c r="B27" s="4" t="s">
        <v>75</v>
      </c>
      <c r="C27" s="4"/>
    </row>
    <row r="28" spans="1:3" x14ac:dyDescent="0.25">
      <c r="A28" s="5">
        <f t="shared" ref="A28" si="1">ROW()-2+2000</f>
        <v>2026</v>
      </c>
      <c r="B28" s="2" t="s">
        <v>76</v>
      </c>
      <c r="C28" s="2" t="s">
        <v>77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workbookViewId="0">
      <selection activeCell="D9" sqref="D9"/>
    </sheetView>
  </sheetViews>
  <sheetFormatPr defaultColWidth="9" defaultRowHeight="14" x14ac:dyDescent="0.25"/>
  <cols>
    <col min="1" max="1" width="14.453125" customWidth="1"/>
    <col min="2" max="2" width="41.6328125" customWidth="1"/>
    <col min="3" max="3" width="26.6328125" customWidth="1"/>
    <col min="4" max="4" width="20.453125" customWidth="1"/>
    <col min="5" max="5" width="30.453125" customWidth="1"/>
    <col min="6" max="6" width="32" customWidth="1"/>
    <col min="7" max="7" width="28.08984375" customWidth="1"/>
    <col min="8" max="8" width="24.453125" customWidth="1"/>
    <col min="9" max="9" width="18.6328125" customWidth="1"/>
    <col min="10" max="10" width="15.08984375" customWidth="1"/>
  </cols>
  <sheetData>
    <row r="1" spans="1:3" ht="30" customHeight="1" x14ac:dyDescent="0.25">
      <c r="A1" s="1" t="s">
        <v>0</v>
      </c>
      <c r="B1" s="1" t="s">
        <v>78</v>
      </c>
      <c r="C1" s="1" t="s">
        <v>79</v>
      </c>
    </row>
    <row r="2" spans="1:3" x14ac:dyDescent="0.25">
      <c r="A2" s="2">
        <f t="shared" ref="A2" si="0">ROW()-2+3000</f>
        <v>3000</v>
      </c>
      <c r="B2" s="2" t="s">
        <v>80</v>
      </c>
      <c r="C2" s="2" t="s">
        <v>81</v>
      </c>
    </row>
    <row r="3" spans="1:3" ht="14.15" customHeight="1" x14ac:dyDescent="0.25">
      <c r="A3" s="3">
        <f t="shared" ref="A3:A4" si="1">ROW()-2+3000</f>
        <v>3001</v>
      </c>
      <c r="B3" s="4" t="s">
        <v>82</v>
      </c>
      <c r="C3" s="4" t="s">
        <v>83</v>
      </c>
    </row>
    <row r="4" spans="1:3" ht="14.15" customHeight="1" x14ac:dyDescent="0.25">
      <c r="A4" s="3">
        <f t="shared" si="1"/>
        <v>3002</v>
      </c>
      <c r="B4" s="4" t="s">
        <v>84</v>
      </c>
      <c r="C4" s="4" t="s">
        <v>85</v>
      </c>
    </row>
    <row r="5" spans="1:3" x14ac:dyDescent="0.25">
      <c r="A5" s="2">
        <f t="shared" ref="A5" si="2">ROW()-2+3000</f>
        <v>3003</v>
      </c>
      <c r="B5" s="2" t="s">
        <v>86</v>
      </c>
      <c r="C5" s="2" t="s">
        <v>87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9"/>
  <sheetViews>
    <sheetView workbookViewId="0">
      <selection activeCell="G22" sqref="G22"/>
    </sheetView>
  </sheetViews>
  <sheetFormatPr defaultColWidth="9" defaultRowHeight="14" x14ac:dyDescent="0.25"/>
  <cols>
    <col min="1" max="1" width="14.08984375" customWidth="1"/>
    <col min="2" max="2" width="40.453125" customWidth="1"/>
    <col min="3" max="3" width="30.453125" customWidth="1"/>
  </cols>
  <sheetData>
    <row r="1" spans="1:3" ht="17.5" x14ac:dyDescent="0.25">
      <c r="A1" s="1" t="s">
        <v>0</v>
      </c>
      <c r="B1" s="1" t="s">
        <v>78</v>
      </c>
      <c r="C1" s="1" t="s">
        <v>79</v>
      </c>
    </row>
    <row r="2" spans="1:3" x14ac:dyDescent="0.25">
      <c r="A2" s="2">
        <f>ROW()-2+4000</f>
        <v>4000</v>
      </c>
      <c r="B2" s="2" t="s">
        <v>88</v>
      </c>
      <c r="C2" s="2" t="s">
        <v>89</v>
      </c>
    </row>
    <row r="3" spans="1:3" ht="14.15" customHeight="1" x14ac:dyDescent="0.25">
      <c r="A3" s="3">
        <f t="shared" ref="A3:A18" si="0">ROW()-2+4000</f>
        <v>4001</v>
      </c>
      <c r="B3" s="4" t="s">
        <v>90</v>
      </c>
      <c r="C3" s="4" t="s">
        <v>91</v>
      </c>
    </row>
    <row r="4" spans="1:3" ht="14.15" customHeight="1" x14ac:dyDescent="0.25">
      <c r="A4" s="3">
        <f t="shared" si="0"/>
        <v>4002</v>
      </c>
      <c r="B4" s="4" t="s">
        <v>92</v>
      </c>
      <c r="C4" s="4" t="s">
        <v>93</v>
      </c>
    </row>
    <row r="5" spans="1:3" ht="14.15" customHeight="1" x14ac:dyDescent="0.25">
      <c r="A5" s="3">
        <f t="shared" si="0"/>
        <v>4003</v>
      </c>
      <c r="B5" s="4" t="s">
        <v>94</v>
      </c>
      <c r="C5" s="4" t="s">
        <v>95</v>
      </c>
    </row>
    <row r="6" spans="1:3" ht="14.15" customHeight="1" x14ac:dyDescent="0.25">
      <c r="A6" s="3">
        <f t="shared" si="0"/>
        <v>4004</v>
      </c>
      <c r="B6" s="4" t="s">
        <v>96</v>
      </c>
      <c r="C6" s="4" t="s">
        <v>97</v>
      </c>
    </row>
    <row r="7" spans="1:3" ht="14.15" customHeight="1" x14ac:dyDescent="0.25">
      <c r="A7" s="3">
        <f t="shared" si="0"/>
        <v>4005</v>
      </c>
      <c r="B7" s="4" t="s">
        <v>98</v>
      </c>
      <c r="C7" s="4" t="s">
        <v>99</v>
      </c>
    </row>
    <row r="8" spans="1:3" ht="14.15" customHeight="1" x14ac:dyDescent="0.25">
      <c r="A8" s="3">
        <f t="shared" si="0"/>
        <v>4006</v>
      </c>
      <c r="B8" s="4" t="s">
        <v>100</v>
      </c>
      <c r="C8" s="4" t="s">
        <v>101</v>
      </c>
    </row>
    <row r="9" spans="1:3" ht="14.15" customHeight="1" x14ac:dyDescent="0.25">
      <c r="A9" s="3">
        <f t="shared" si="0"/>
        <v>4007</v>
      </c>
      <c r="B9" s="4" t="s">
        <v>102</v>
      </c>
      <c r="C9" s="4" t="s">
        <v>103</v>
      </c>
    </row>
    <row r="10" spans="1:3" ht="14.15" customHeight="1" x14ac:dyDescent="0.25">
      <c r="A10" s="3">
        <f t="shared" si="0"/>
        <v>4008</v>
      </c>
      <c r="B10" s="4" t="s">
        <v>104</v>
      </c>
      <c r="C10" s="4" t="s">
        <v>105</v>
      </c>
    </row>
    <row r="11" spans="1:3" ht="14.15" customHeight="1" x14ac:dyDescent="0.25">
      <c r="A11" s="3">
        <f t="shared" si="0"/>
        <v>4009</v>
      </c>
      <c r="B11" s="4" t="s">
        <v>106</v>
      </c>
      <c r="C11" s="4" t="s">
        <v>107</v>
      </c>
    </row>
    <row r="12" spans="1:3" ht="14.15" customHeight="1" x14ac:dyDescent="0.25">
      <c r="A12" s="3">
        <f t="shared" si="0"/>
        <v>4010</v>
      </c>
      <c r="B12" s="4" t="s">
        <v>108</v>
      </c>
      <c r="C12" s="4" t="s">
        <v>109</v>
      </c>
    </row>
    <row r="13" spans="1:3" ht="14.15" customHeight="1" x14ac:dyDescent="0.25">
      <c r="A13" s="3">
        <f t="shared" si="0"/>
        <v>4011</v>
      </c>
      <c r="B13" s="4" t="s">
        <v>110</v>
      </c>
      <c r="C13" s="4" t="s">
        <v>111</v>
      </c>
    </row>
    <row r="14" spans="1:3" ht="14.15" customHeight="1" x14ac:dyDescent="0.25">
      <c r="A14" s="3">
        <f t="shared" si="0"/>
        <v>4012</v>
      </c>
      <c r="B14" s="4" t="s">
        <v>112</v>
      </c>
      <c r="C14" s="4" t="s">
        <v>113</v>
      </c>
    </row>
    <row r="15" spans="1:3" ht="14.15" customHeight="1" x14ac:dyDescent="0.25">
      <c r="A15" s="3">
        <f t="shared" si="0"/>
        <v>4013</v>
      </c>
      <c r="B15" s="4" t="s">
        <v>114</v>
      </c>
      <c r="C15" s="4" t="s">
        <v>115</v>
      </c>
    </row>
    <row r="16" spans="1:3" ht="14.15" customHeight="1" x14ac:dyDescent="0.25">
      <c r="A16" s="3">
        <f t="shared" si="0"/>
        <v>4014</v>
      </c>
      <c r="B16" s="4" t="s">
        <v>116</v>
      </c>
      <c r="C16" s="4" t="s">
        <v>117</v>
      </c>
    </row>
    <row r="17" spans="1:3" ht="14.15" customHeight="1" x14ac:dyDescent="0.25">
      <c r="A17" s="3">
        <f t="shared" si="0"/>
        <v>4015</v>
      </c>
      <c r="B17" s="4" t="s">
        <v>118</v>
      </c>
      <c r="C17" s="4" t="s">
        <v>119</v>
      </c>
    </row>
    <row r="18" spans="1:3" ht="14.15" customHeight="1" x14ac:dyDescent="0.25">
      <c r="A18" s="2">
        <f t="shared" si="0"/>
        <v>4016</v>
      </c>
      <c r="B18" s="2" t="s">
        <v>120</v>
      </c>
      <c r="C18" s="2" t="s">
        <v>121</v>
      </c>
    </row>
    <row r="19" spans="1:3" ht="14.15" customHeight="1" x14ac:dyDescent="0.25"/>
  </sheetData>
  <phoneticPr fontId="3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abSelected="1" topLeftCell="A4" workbookViewId="0">
      <selection activeCell="E45" sqref="E45"/>
    </sheetView>
  </sheetViews>
  <sheetFormatPr defaultColWidth="9" defaultRowHeight="14" x14ac:dyDescent="0.25"/>
  <sheetData/>
  <phoneticPr fontId="3" type="noConversion"/>
  <pageMargins left="0.69930555555555596" right="0.69930555555555596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寄存器表（参数）</vt:lpstr>
      <vt:lpstr>寄存器表（实时寄存器数据）</vt:lpstr>
      <vt:lpstr>开关量表（常规告警、特殊告警）</vt:lpstr>
      <vt:lpstr>开关量表（信号状态）</vt:lpstr>
      <vt:lpstr>#生成配置文件#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yaoming yang</cp:lastModifiedBy>
  <dcterms:created xsi:type="dcterms:W3CDTF">2006-09-13T11:21:00Z</dcterms:created>
  <dcterms:modified xsi:type="dcterms:W3CDTF">2025-07-29T03:01:19Z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2052-12.1.0.21915</vt:lpwstr>
  </property>
  <property fmtid="{D5CDD505-2E9C-101B-9397-08002B2CF9AE}" pid="3" name="ICV">
    <vt:lpwstr>E969FA9886724C0A86DB39E94CE75DE4</vt:lpwstr>
  </property>
</Properties>
</file>