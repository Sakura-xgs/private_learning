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VN_code\02.Software\01.CCU01\02.src\CCU01_DCDC\CCU01_APP_RT1021\user_code\Signal\"/>
    </mc:Choice>
  </mc:AlternateContent>
  <xr:revisionPtr revIDLastSave="0" documentId="13_ncr:1_{6D4BF5E8-3002-482E-99AB-43D17EBFC50D}" xr6:coauthVersionLast="47" xr6:coauthVersionMax="47" xr10:uidLastSave="{00000000-0000-0000-0000-000000000000}"/>
  <bookViews>
    <workbookView xWindow="-108" yWindow="-108" windowWidth="23256" windowHeight="12456" tabRatio="679" xr2:uid="{00000000-000D-0000-FFFF-FFFF00000000}"/>
  </bookViews>
  <sheets>
    <sheet name="寄存器表（参数）" sheetId="1" r:id="rId1"/>
    <sheet name="寄存器表（实时寄存器数据）" sheetId="2" r:id="rId2"/>
    <sheet name="开关量表（常规告警、特殊告警）" sheetId="3" r:id="rId3"/>
    <sheet name="开关量表（信号状态）" sheetId="4" r:id="rId4"/>
    <sheet name="#生成配置文件#" sheetId="5" r:id="rId5"/>
  </sheets>
  <calcPr calcId="191029"/>
</workbook>
</file>

<file path=xl/calcChain.xml><?xml version="1.0" encoding="utf-8"?>
<calcChain xmlns="http://schemas.openxmlformats.org/spreadsheetml/2006/main">
  <c r="A31" i="1" l="1"/>
  <c r="A32" i="1"/>
  <c r="A33" i="1"/>
  <c r="A34" i="1"/>
  <c r="A26" i="1"/>
  <c r="A23" i="3"/>
  <c r="A92" i="1"/>
  <c r="A93" i="1"/>
  <c r="A94" i="1"/>
  <c r="A80" i="1"/>
  <c r="A81" i="1"/>
  <c r="A82" i="1"/>
  <c r="A65" i="1"/>
  <c r="A66" i="1"/>
  <c r="A67" i="1"/>
  <c r="A68" i="1"/>
  <c r="A69" i="1"/>
  <c r="A70" i="1"/>
  <c r="A71" i="1"/>
  <c r="A13" i="2"/>
  <c r="A14" i="2"/>
  <c r="A15" i="2"/>
  <c r="A16" i="2"/>
  <c r="A103" i="1"/>
  <c r="A104" i="1"/>
  <c r="A4" i="2"/>
  <c r="A5" i="2"/>
  <c r="A6" i="2"/>
  <c r="A7" i="2"/>
  <c r="A8" i="2"/>
  <c r="A9" i="2"/>
  <c r="A10" i="2"/>
  <c r="A11" i="2"/>
  <c r="A12" i="2"/>
  <c r="A97" i="1"/>
  <c r="A98" i="1"/>
  <c r="A99" i="1"/>
  <c r="A100" i="1"/>
  <c r="A101" i="1"/>
  <c r="A102" i="1"/>
  <c r="A105" i="1"/>
  <c r="A96" i="1"/>
  <c r="A95" i="1"/>
  <c r="A106" i="1"/>
  <c r="A91" i="1"/>
  <c r="A90" i="1"/>
  <c r="A44" i="1"/>
  <c r="A45" i="1"/>
  <c r="A46" i="1"/>
  <c r="A22" i="3"/>
  <c r="A21" i="4"/>
  <c r="A22" i="4"/>
  <c r="A23" i="4"/>
  <c r="A24" i="4"/>
  <c r="A25" i="4"/>
  <c r="A26" i="4"/>
  <c r="A27" i="4"/>
  <c r="A28" i="4"/>
  <c r="A15" i="3"/>
  <c r="A20" i="3"/>
  <c r="A21" i="3"/>
  <c r="A60" i="1"/>
  <c r="A61" i="1"/>
  <c r="A54" i="1"/>
  <c r="A55" i="1"/>
  <c r="A37" i="1"/>
  <c r="A38" i="1"/>
  <c r="A39" i="1"/>
  <c r="A40" i="1"/>
  <c r="A41" i="1"/>
  <c r="A42" i="1"/>
  <c r="A43" i="1"/>
  <c r="A12" i="4"/>
  <c r="A13" i="4"/>
  <c r="A3" i="3"/>
  <c r="A24" i="3"/>
  <c r="A8" i="3"/>
  <c r="A7" i="3"/>
  <c r="A5" i="3"/>
  <c r="A6" i="3"/>
  <c r="A9" i="3"/>
  <c r="A10" i="3"/>
  <c r="A11" i="3"/>
  <c r="A12" i="3"/>
  <c r="A13" i="3"/>
  <c r="A14" i="3"/>
  <c r="A16" i="3"/>
  <c r="A17" i="3"/>
  <c r="A18" i="3"/>
  <c r="A19" i="3"/>
  <c r="A25" i="3"/>
  <c r="A26" i="3"/>
  <c r="A27" i="3"/>
  <c r="A4" i="3"/>
  <c r="A2" i="3"/>
  <c r="A17" i="2"/>
  <c r="A3" i="2"/>
  <c r="A2" i="2"/>
  <c r="A36" i="1"/>
  <c r="A19" i="1"/>
  <c r="A20" i="1"/>
  <c r="A21" i="1"/>
  <c r="A22" i="1"/>
  <c r="A23" i="1"/>
  <c r="A24" i="1"/>
  <c r="A25" i="1"/>
  <c r="A27" i="1"/>
  <c r="A28" i="1"/>
  <c r="A29" i="1"/>
  <c r="A30" i="1"/>
  <c r="A35" i="1"/>
  <c r="A47" i="1"/>
  <c r="A48" i="1"/>
  <c r="A49" i="1"/>
  <c r="A50" i="1"/>
  <c r="A51" i="1"/>
  <c r="A52" i="1"/>
  <c r="A53" i="1"/>
  <c r="A56" i="1"/>
  <c r="A57" i="1"/>
  <c r="A58" i="1"/>
  <c r="A59" i="1"/>
  <c r="A62" i="1"/>
  <c r="A63" i="1"/>
  <c r="A64" i="1"/>
  <c r="A72" i="1"/>
  <c r="A73" i="1"/>
  <c r="A74" i="1"/>
  <c r="A75" i="1"/>
  <c r="A76" i="1"/>
  <c r="A77" i="1"/>
  <c r="A78" i="1"/>
  <c r="A79" i="1"/>
  <c r="A83" i="1"/>
  <c r="A84" i="1"/>
  <c r="A85" i="1"/>
  <c r="A86" i="1"/>
  <c r="A87" i="1"/>
  <c r="A88" i="1"/>
  <c r="A18" i="1"/>
  <c r="A16" i="4"/>
  <c r="A17" i="4"/>
  <c r="A18" i="4"/>
  <c r="A19" i="4"/>
  <c r="A20" i="4"/>
  <c r="A29" i="4"/>
  <c r="A15" i="4"/>
  <c r="A14" i="4"/>
  <c r="A11" i="4"/>
  <c r="A10" i="4"/>
  <c r="A9" i="4"/>
  <c r="A8" i="4"/>
  <c r="A7" i="4"/>
  <c r="A6" i="4"/>
  <c r="A5" i="4"/>
  <c r="A4" i="4"/>
  <c r="A3" i="4"/>
  <c r="A2" i="4"/>
  <c r="A89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<sst xmlns="http://schemas.openxmlformats.org/spreadsheetml/2006/main" count="585" uniqueCount="343">
  <si>
    <t>SignalID</t>
  </si>
  <si>
    <r>
      <rPr>
        <b/>
        <i/>
        <sz val="14"/>
        <color indexed="8"/>
        <rFont val="宋体"/>
        <charset val="134"/>
      </rPr>
      <t>S</t>
    </r>
    <r>
      <rPr>
        <b/>
        <i/>
        <sz val="14"/>
        <color indexed="8"/>
        <rFont val="宋体"/>
        <charset val="134"/>
      </rPr>
      <t>ignal</t>
    </r>
    <r>
      <rPr>
        <b/>
        <i/>
        <sz val="14"/>
        <color indexed="8"/>
        <rFont val="宋体"/>
        <charset val="134"/>
      </rPr>
      <t>EnName</t>
    </r>
  </si>
  <si>
    <r>
      <rPr>
        <b/>
        <i/>
        <sz val="14"/>
        <color indexed="8"/>
        <rFont val="宋体"/>
        <charset val="134"/>
      </rPr>
      <t>S</t>
    </r>
    <r>
      <rPr>
        <b/>
        <i/>
        <sz val="14"/>
        <color indexed="8"/>
        <rFont val="宋体"/>
        <charset val="134"/>
      </rPr>
      <t>ignalCh</t>
    </r>
    <r>
      <rPr>
        <b/>
        <i/>
        <sz val="14"/>
        <color indexed="8"/>
        <rFont val="宋体"/>
        <charset val="134"/>
      </rPr>
      <t>Name</t>
    </r>
  </si>
  <si>
    <t>Default Value</t>
  </si>
  <si>
    <t>Max Value</t>
  </si>
  <si>
    <t>Min Value</t>
  </si>
  <si>
    <t>Zoom</t>
  </si>
  <si>
    <t>Offset</t>
  </si>
  <si>
    <t>CCU_SET_SIG_ID_BEGIN_FLAG</t>
  </si>
  <si>
    <t>设置信号开始位置</t>
  </si>
  <si>
    <t>CCU_SET_SIG_ID_RESET_EVENT_FLASH_FG</t>
  </si>
  <si>
    <t>初始化FLASH记录数据参数标志</t>
  </si>
  <si>
    <t>CCU_SET_SIG_ID_FLASH_HIS_WR_ADDR</t>
  </si>
  <si>
    <t>FLASH历史数据当前存储地址</t>
  </si>
  <si>
    <t>CCU_SET_SIG_ID_FLASH_ERR_WR_ADDR</t>
  </si>
  <si>
    <t>FLASH告警数据当前存储地址</t>
  </si>
  <si>
    <t>CCU_SET_SIG_ID_FLASH_HIS_RD_ADDR</t>
  </si>
  <si>
    <t>FLASH历史数据读取开始地址</t>
  </si>
  <si>
    <t>CCU_SET_SIG_ID_FLASH_ERR_RD_ADDR</t>
  </si>
  <si>
    <t>FLASH告警数据读取开始地址</t>
  </si>
  <si>
    <t>CCU_SET_SIG_ID_FLASH_HIS_SAVE_FULL_FLAG</t>
  </si>
  <si>
    <t>FLASH历史数据存满标识</t>
  </si>
  <si>
    <t>CCU_SET_SIG_ID_FLASH_ERR_SAVE_FULL_FLAG</t>
  </si>
  <si>
    <t>FLASH告警数据存满标识</t>
  </si>
  <si>
    <t>CCU_SET_SIG_ID_FLASH_HIS_DATA_RECORD_NUM</t>
  </si>
  <si>
    <t>FLASH历史数据记录条数</t>
  </si>
  <si>
    <t>CCU_SET_SIG_ID_FLASH_ERR_DATA_RECORD_NUM</t>
  </si>
  <si>
    <t>FLASH告警数据记录条数</t>
  </si>
  <si>
    <t>CCU_SET_SIG_ID_RESET_TIMES</t>
  </si>
  <si>
    <t>复位次数</t>
  </si>
  <si>
    <t>CCU_SET_SIG_ID_STARTUP_DAY</t>
  </si>
  <si>
    <t>上次开机日期(空、年、月、日)</t>
  </si>
  <si>
    <t>CCU_SET_SIG_ID_STARTUP_SEC</t>
  </si>
  <si>
    <t>上次开机时刻(空、时、分、秒)</t>
  </si>
  <si>
    <t>CCU_SET_SIG_ID_HIGH_FREQ_END_FLAG</t>
  </si>
  <si>
    <t>高频设置信号结束位置</t>
  </si>
  <si>
    <t>产品SN(1、2、3、4位)</t>
  </si>
  <si>
    <t>产品SN(5、6、7、8位)</t>
  </si>
  <si>
    <t>产品SN(9、10、11、12位)</t>
  </si>
  <si>
    <t>产品SN(13、14、15、16位)</t>
  </si>
  <si>
    <t>外部eeprom功能测试信号</t>
  </si>
  <si>
    <t>CCU_SET_SIG_ID_END_FLAG</t>
  </si>
  <si>
    <t>设置信号结束位置</t>
  </si>
  <si>
    <t>CCU_SAM_SIG_ID_BEGIN_FLAG</t>
  </si>
  <si>
    <t>采集信号开始位置</t>
  </si>
  <si>
    <t>CCU_SAM_SIG_ID_BAT_RATE_VOLT</t>
  </si>
  <si>
    <t>电池额定总电压</t>
  </si>
  <si>
    <t>CCU_SAM_SIG_ID_CHARGE_CUTOFF_VOLT</t>
  </si>
  <si>
    <t>充电截止总电压</t>
  </si>
  <si>
    <t>充电桩电压上限</t>
  </si>
  <si>
    <t>CCU_SAM_SIG_ID_END_FLAG</t>
  </si>
  <si>
    <t>采集信号结束位置</t>
  </si>
  <si>
    <t>ParamEnName</t>
  </si>
  <si>
    <t>ParamName</t>
  </si>
  <si>
    <t>PCU通讯丢失</t>
  </si>
  <si>
    <t>系统故障等级一级</t>
  </si>
  <si>
    <t>系统故障等级二级</t>
  </si>
  <si>
    <t>SIGNAL_STATUS_BEGIN_FLAG</t>
  </si>
  <si>
    <t>信号状态开始标志</t>
  </si>
  <si>
    <t>SIGNAL_STATUS_POWER_ON</t>
  </si>
  <si>
    <t>开机</t>
  </si>
  <si>
    <t>SIGNAL_STATUS_POWER_OFF</t>
  </si>
  <si>
    <t>关机</t>
  </si>
  <si>
    <t>SIGNAL_STATUS_UPDATA</t>
  </si>
  <si>
    <t>升级</t>
  </si>
  <si>
    <t>SIGNAL_STATUS_END_FLAG</t>
  </si>
  <si>
    <t>信号状态结束标志</t>
  </si>
  <si>
    <t>刷卡板通讯丢失</t>
  </si>
  <si>
    <t>ALARM_ID_POS_COMM_LOST_ALARM</t>
  </si>
  <si>
    <t>pos机通讯丢失</t>
  </si>
  <si>
    <t>ALARM_ID_HMI_COMM_LOST_ALARM</t>
  </si>
  <si>
    <t>HMI通讯丢失</t>
  </si>
  <si>
    <t>功率柜故障</t>
  </si>
  <si>
    <t>ALARM_ID_ESTOP_ERROR</t>
  </si>
  <si>
    <t>急停</t>
  </si>
  <si>
    <t>ALARM_ID_DOOR_GUARD_ERROR</t>
  </si>
  <si>
    <t>门禁</t>
  </si>
  <si>
    <t>ALARM_ID_ANTITHUNDER_ERROR</t>
  </si>
  <si>
    <t>ALARM_ID_WATER_IMMERSION_ERROR</t>
  </si>
  <si>
    <t>水浸</t>
  </si>
  <si>
    <t>ALARM_ID_PCU_COMM_LOST_ERROR</t>
  </si>
  <si>
    <t>ALARM_ID_METER_ADDR_CONFLICT_ERROR</t>
  </si>
  <si>
    <t>电表地址冲突</t>
  </si>
  <si>
    <t>ALARM_ID_IMD_ADD_CONFLICT_ERROR</t>
  </si>
  <si>
    <t>IMD地址冲突</t>
  </si>
  <si>
    <t>ALARM_ID_POWER_DOWN_ERROR</t>
  </si>
  <si>
    <t>桩掉电故障</t>
  </si>
  <si>
    <t>ALARM_ID_PCU_ERROR</t>
    <phoneticPr fontId="3" type="noConversion"/>
  </si>
  <si>
    <t>SIGNAL_STATUS_THUNDER_DI</t>
  </si>
  <si>
    <t>防雷DI状态</t>
  </si>
  <si>
    <t>SIGNAL_STATUS_DOOR_DI</t>
  </si>
  <si>
    <t>门禁DI状态</t>
  </si>
  <si>
    <t>SIGNAL_STATUS_WATER_DI</t>
  </si>
  <si>
    <t>水浸DI状态</t>
  </si>
  <si>
    <t>SIGNAL_STATUS_TIPPING_DI</t>
  </si>
  <si>
    <t>防倾倒DI状态</t>
  </si>
  <si>
    <t>SIGNAL_STATUS_ESTOP_DI</t>
  </si>
  <si>
    <t>急停DI状态</t>
  </si>
  <si>
    <t>预充继电器DO状态</t>
  </si>
  <si>
    <t>A枪主回路正极继电器DO状态</t>
  </si>
  <si>
    <t>A枪主回路负极继电器DO状态</t>
  </si>
  <si>
    <t>B枪主回路正极继电器DO状态</t>
  </si>
  <si>
    <t>B枪主回路负极继电器DO状态</t>
  </si>
  <si>
    <t>SIGNAL_STATUS_CONNECTOR_A_FUSE_DI</t>
  </si>
  <si>
    <t>A枪熔断器DI状态</t>
  </si>
  <si>
    <t>SIGNAL_STATUS_CONNECTOR_B_FUSE_DI</t>
  </si>
  <si>
    <t>B枪熔断器DI状态</t>
  </si>
  <si>
    <t>SIGNAL_STATUS_CONNNECTOR_A_RETURN_DI</t>
  </si>
  <si>
    <t>A枪枪归位DI状态</t>
  </si>
  <si>
    <t>SIGNAL_STATUS_CONNNECTOR_B_RETURN_DI</t>
  </si>
  <si>
    <t>B枪枪归位DI状态</t>
  </si>
  <si>
    <t>CCU_SET_SIG_ID_TEST_STATION_RECORD</t>
    <phoneticPr fontId="3" type="noConversion"/>
  </si>
  <si>
    <t>CCU_SET_SIG_ID_GUN_NUM</t>
    <phoneticPr fontId="3" type="noConversion"/>
  </si>
  <si>
    <t>桩编码</t>
    <phoneticPr fontId="3" type="noConversion"/>
  </si>
  <si>
    <t>CCU_SET_SIG_ID_USE_SCREEN_FLAG</t>
    <phoneticPr fontId="3" type="noConversion"/>
  </si>
  <si>
    <t>是否使用广告屏</t>
    <phoneticPr fontId="3" type="noConversion"/>
  </si>
  <si>
    <t>CCU_SET_SIG_ID_HMI_MODEL</t>
    <phoneticPr fontId="3" type="noConversion"/>
  </si>
  <si>
    <t>HMI型号</t>
    <phoneticPr fontId="3" type="noConversion"/>
  </si>
  <si>
    <t>CCU_SET_SIG_ID_POS_MODEL</t>
    <phoneticPr fontId="3" type="noConversion"/>
  </si>
  <si>
    <t>pos机型号</t>
    <phoneticPr fontId="3" type="noConversion"/>
  </si>
  <si>
    <t>CCU_SET_SIG_ID_RFID_MODEL</t>
    <phoneticPr fontId="3" type="noConversion"/>
  </si>
  <si>
    <t>刷卡板型号</t>
    <phoneticPr fontId="3" type="noConversion"/>
  </si>
  <si>
    <t>CCU_SET_SIG_ID_M1_KEY_MODE_FIRST</t>
    <phoneticPr fontId="3" type="noConversion"/>
  </si>
  <si>
    <t>M1卡第一块数据存储密码模式</t>
    <phoneticPr fontId="3" type="noConversion"/>
  </si>
  <si>
    <t>M1卡第一块数据存储密码扇区</t>
    <phoneticPr fontId="3" type="noConversion"/>
  </si>
  <si>
    <t>CCU_SET_SIG_ID_M1_KEY_MODE_SECOND</t>
    <phoneticPr fontId="3" type="noConversion"/>
  </si>
  <si>
    <t>M1卡第二块数据存储密码模式</t>
    <phoneticPr fontId="3" type="noConversion"/>
  </si>
  <si>
    <t>M1卡第一块数据存储密码块号</t>
    <phoneticPr fontId="3" type="noConversion"/>
  </si>
  <si>
    <t>A枪id</t>
    <phoneticPr fontId="3" type="noConversion"/>
  </si>
  <si>
    <t>枪最大输出电压</t>
    <phoneticPr fontId="3" type="noConversion"/>
  </si>
  <si>
    <t>枪最小输出电压</t>
    <phoneticPr fontId="3" type="noConversion"/>
  </si>
  <si>
    <t>枪最大输出电流</t>
    <phoneticPr fontId="3" type="noConversion"/>
  </si>
  <si>
    <t>枪最小输出电流</t>
    <phoneticPr fontId="3" type="noConversion"/>
  </si>
  <si>
    <t>电表型号</t>
    <phoneticPr fontId="3" type="noConversion"/>
  </si>
  <si>
    <t>secc型号</t>
    <phoneticPr fontId="3" type="noConversion"/>
  </si>
  <si>
    <t>imd型号</t>
    <phoneticPr fontId="3" type="noConversion"/>
  </si>
  <si>
    <t>A枪类型</t>
    <phoneticPr fontId="3" type="noConversion"/>
  </si>
  <si>
    <t>CCU_SET_SIG_ID_GUN_TYPE_A</t>
    <phoneticPr fontId="3" type="noConversion"/>
  </si>
  <si>
    <t>CCU_SET_SIG_ID_GUN_ID_A</t>
    <phoneticPr fontId="3" type="noConversion"/>
  </si>
  <si>
    <t>CCU_SET_SIG_ID_GUN_MAX_OUTPUT_VOL_A</t>
    <phoneticPr fontId="3" type="noConversion"/>
  </si>
  <si>
    <t>CCU_SET_SIG_ID_GUN_MIN_OUTPUT_VOL_A</t>
    <phoneticPr fontId="3" type="noConversion"/>
  </si>
  <si>
    <t>CCU_SET_SIG_ID_GUN_MAX_OUTPUT_CUR_A</t>
    <phoneticPr fontId="3" type="noConversion"/>
  </si>
  <si>
    <t>CCU_SET_SIG_ID_GUN_MIN_OUTPUT_CUR_A</t>
    <phoneticPr fontId="3" type="noConversion"/>
  </si>
  <si>
    <t>CCU_SET_SIG_ID_METER_MODEL_A</t>
    <phoneticPr fontId="3" type="noConversion"/>
  </si>
  <si>
    <t>CCU_SET_SIG_ID_SECC_MODEL_A</t>
    <phoneticPr fontId="3" type="noConversion"/>
  </si>
  <si>
    <t>CCU_SET_SIG_ID_IMD_MODEL_A</t>
    <phoneticPr fontId="3" type="noConversion"/>
  </si>
  <si>
    <t>CCU_SET_SIG_ID_GUN_TYPE_B</t>
    <phoneticPr fontId="3" type="noConversion"/>
  </si>
  <si>
    <t>CCU_SET_SIG_ID_GUN_ID_B</t>
    <phoneticPr fontId="3" type="noConversion"/>
  </si>
  <si>
    <t>CCU_SET_SIG_ID_GUN_MAX_OUTPUT_VOL_B</t>
    <phoneticPr fontId="3" type="noConversion"/>
  </si>
  <si>
    <t>CCU_SET_SIG_ID_GUN_MIN_OUTPUT_VOL_B</t>
    <phoneticPr fontId="3" type="noConversion"/>
  </si>
  <si>
    <t>CCU_SET_SIG_ID_GUN_MAX_OUTPUT_CUR_B</t>
    <phoneticPr fontId="3" type="noConversion"/>
  </si>
  <si>
    <t>CCU_SET_SIG_ID_GUN_MIN_OUTPUT_CUR_B</t>
    <phoneticPr fontId="3" type="noConversion"/>
  </si>
  <si>
    <t>CCU_SET_SIG_ID_METER_MODEL_B</t>
    <phoneticPr fontId="3" type="noConversion"/>
  </si>
  <si>
    <t>CCU_SET_SIG_ID_SECC_MODEL_B</t>
    <phoneticPr fontId="3" type="noConversion"/>
  </si>
  <si>
    <t>CCU_SET_SIG_ID_IMD_MODEL_B</t>
    <phoneticPr fontId="3" type="noConversion"/>
  </si>
  <si>
    <t>CCU_SET_SIG_ID_SN_NUMBER_1_2_3_4</t>
    <phoneticPr fontId="3" type="noConversion"/>
  </si>
  <si>
    <t>CCU_SET_SIG_ID_SOFTWARE_1_2_3_4</t>
    <phoneticPr fontId="3" type="noConversion"/>
  </si>
  <si>
    <t>CCU_SET_SIG_ID_SN_NUMBER_5_6_7_8</t>
    <phoneticPr fontId="3" type="noConversion"/>
  </si>
  <si>
    <t>CCU_SET_SIG_ID_SOFTWARE_5_6_7_8</t>
    <phoneticPr fontId="3" type="noConversion"/>
  </si>
  <si>
    <t>CCU_SET_SIG_ID_SN_NUMBER_9_10_11_12</t>
    <phoneticPr fontId="3" type="noConversion"/>
  </si>
  <si>
    <t>CCU_SET_SIG_ID_SOFTWARE_9_10_11_12</t>
    <phoneticPr fontId="3" type="noConversion"/>
  </si>
  <si>
    <t>CCU_SET_SIG_ID_SN_NUMBER_13_14_15_16</t>
    <phoneticPr fontId="3" type="noConversion"/>
  </si>
  <si>
    <t>CCU_SET_SIG_ID_SOFTWARE_13_14_15_16</t>
    <phoneticPr fontId="3" type="noConversion"/>
  </si>
  <si>
    <t>充电桩软件版本(1、2、3、4位)</t>
    <phoneticPr fontId="3" type="noConversion"/>
  </si>
  <si>
    <t>充电桩软件版本(5、6、7、8位)</t>
    <phoneticPr fontId="3" type="noConversion"/>
  </si>
  <si>
    <t>充电桩软件版本(9、10、11、12位)</t>
    <phoneticPr fontId="3" type="noConversion"/>
  </si>
  <si>
    <t>充电桩软件版本(13、14、15、16位)</t>
    <phoneticPr fontId="3" type="noConversion"/>
  </si>
  <si>
    <t>CCU_SET_SIG_ID_HARDWARE_1_2_3_4</t>
    <phoneticPr fontId="3" type="noConversion"/>
  </si>
  <si>
    <t>CCU_SET_SIG_ID_HARDWARE_5_6_7_8</t>
    <phoneticPr fontId="3" type="noConversion"/>
  </si>
  <si>
    <t>CCU_SET_SIG_ID_HARDWARE_9_10_11_12</t>
    <phoneticPr fontId="3" type="noConversion"/>
  </si>
  <si>
    <t>CCU_SET_SIG_ID_HARDWARE_13_14_15_16</t>
    <phoneticPr fontId="3" type="noConversion"/>
  </si>
  <si>
    <t>充电桩硬件版本(1、2、3、4位)</t>
    <phoneticPr fontId="3" type="noConversion"/>
  </si>
  <si>
    <t>充电桩硬件版本(5、6、7、8位)</t>
    <phoneticPr fontId="3" type="noConversion"/>
  </si>
  <si>
    <t>充电桩硬件版本(9、10、11、12位)</t>
    <phoneticPr fontId="3" type="noConversion"/>
  </si>
  <si>
    <t>充电桩硬件版本(13、14、15、16位)</t>
    <phoneticPr fontId="3" type="noConversion"/>
  </si>
  <si>
    <t>测试工站信息记录</t>
    <phoneticPr fontId="3" type="noConversion"/>
  </si>
  <si>
    <t>B枪类型</t>
    <phoneticPr fontId="3" type="noConversion"/>
  </si>
  <si>
    <t>B枪id</t>
    <phoneticPr fontId="3" type="noConversion"/>
  </si>
  <si>
    <t>CCU_SET_SIG_ID_EXT_EEPROM_TEST_VAL</t>
    <phoneticPr fontId="3" type="noConversion"/>
  </si>
  <si>
    <t>CCU_SET_SIG_ID_FLAG</t>
    <phoneticPr fontId="3" type="noConversion"/>
  </si>
  <si>
    <t>平台配置桩属性标志位</t>
    <phoneticPr fontId="3" type="noConversion"/>
  </si>
  <si>
    <t>ALARM_ID_RFID_COMM_LOST_ALARM</t>
    <phoneticPr fontId="3" type="noConversion"/>
  </si>
  <si>
    <t>ALARM_ID_PILE_BEGIN_FLAG</t>
    <phoneticPr fontId="3" type="noConversion"/>
  </si>
  <si>
    <t>ALARM_ID_PILE_ERROR_LEV_1</t>
    <phoneticPr fontId="3" type="noConversion"/>
  </si>
  <si>
    <t>ALARM_ID_PILE_ERROR_LEV_2</t>
    <phoneticPr fontId="3" type="noConversion"/>
  </si>
  <si>
    <t>ALARM_ID_PILE_END_FLAG</t>
    <phoneticPr fontId="3" type="noConversion"/>
  </si>
  <si>
    <t>桩告警事件信号结束位置</t>
    <phoneticPr fontId="3" type="noConversion"/>
  </si>
  <si>
    <t>ALARM_ID_PILE_ALARM_BEGIN_FLAG</t>
    <phoneticPr fontId="3" type="noConversion"/>
  </si>
  <si>
    <t>ALARM_ID_PILE_ALARM_END_FLAG</t>
    <phoneticPr fontId="3" type="noConversion"/>
  </si>
  <si>
    <t>ALARM_ID_PILE_ERROR_BEGIN_FLAG</t>
    <phoneticPr fontId="3" type="noConversion"/>
  </si>
  <si>
    <t>桩故障事件信号开始位置</t>
    <phoneticPr fontId="3" type="noConversion"/>
  </si>
  <si>
    <t>ALARM_ID_PILE_ERROR_END_FLAG</t>
    <phoneticPr fontId="3" type="noConversion"/>
  </si>
  <si>
    <t>桩故障事件信号结束位置</t>
    <phoneticPr fontId="3" type="noConversion"/>
  </si>
  <si>
    <t>桩事件信号开始位置</t>
    <phoneticPr fontId="3" type="noConversion"/>
  </si>
  <si>
    <t>桩事件信号结束位置</t>
    <phoneticPr fontId="3" type="noConversion"/>
  </si>
  <si>
    <t>SIGNAL_STATUS_PRECHARGE_A_DO</t>
    <phoneticPr fontId="3" type="noConversion"/>
  </si>
  <si>
    <t>SIGNAL_STATUS_PRECHARGE_B_DO</t>
    <phoneticPr fontId="3" type="noConversion"/>
  </si>
  <si>
    <t>SIGNAL_STATUS_K1</t>
    <phoneticPr fontId="3" type="noConversion"/>
  </si>
  <si>
    <t>SIGNAL_STATUS_K2</t>
    <phoneticPr fontId="3" type="noConversion"/>
  </si>
  <si>
    <t>SIGNAL_STATUS_K3</t>
    <phoneticPr fontId="3" type="noConversion"/>
  </si>
  <si>
    <t>SIGNAL_STATUS_K4</t>
    <phoneticPr fontId="3" type="noConversion"/>
  </si>
  <si>
    <t>SIGNAL_STATUS_K5</t>
    <phoneticPr fontId="3" type="noConversion"/>
  </si>
  <si>
    <t>SIGNAL_STATUS_K6</t>
  </si>
  <si>
    <t>SIGNAL_STATUS_K7</t>
    <phoneticPr fontId="3" type="noConversion"/>
  </si>
  <si>
    <t>SIGNAL_STATUS_K8</t>
    <phoneticPr fontId="3" type="noConversion"/>
  </si>
  <si>
    <t>K1继电器</t>
    <phoneticPr fontId="3" type="noConversion"/>
  </si>
  <si>
    <t>K2继电器</t>
    <phoneticPr fontId="3" type="noConversion"/>
  </si>
  <si>
    <t>K3继电器</t>
    <phoneticPr fontId="3" type="noConversion"/>
  </si>
  <si>
    <t>K4继电器</t>
    <phoneticPr fontId="3" type="noConversion"/>
  </si>
  <si>
    <t>K5继电器</t>
    <phoneticPr fontId="3" type="noConversion"/>
  </si>
  <si>
    <t>K6继电器</t>
    <phoneticPr fontId="3" type="noConversion"/>
  </si>
  <si>
    <t>K7继电器</t>
    <phoneticPr fontId="3" type="noConversion"/>
  </si>
  <si>
    <t>K8继电器</t>
    <phoneticPr fontId="3" type="noConversion"/>
  </si>
  <si>
    <t>charge id（1-4位）</t>
    <phoneticPr fontId="3" type="noConversion"/>
  </si>
  <si>
    <t>CCU_SET_SIG_ID_CHARGE_ID_1_2_3_4</t>
    <phoneticPr fontId="3" type="noConversion"/>
  </si>
  <si>
    <t>CCU_SET_SIG_ID_CHARGE_ID_5_6_7_8</t>
    <phoneticPr fontId="3" type="noConversion"/>
  </si>
  <si>
    <t>charge id（5-8位）</t>
    <phoneticPr fontId="3" type="noConversion"/>
  </si>
  <si>
    <t>charge id（9-12位）</t>
    <phoneticPr fontId="3" type="noConversion"/>
  </si>
  <si>
    <t>charge id（13-16位）</t>
    <phoneticPr fontId="3" type="noConversion"/>
  </si>
  <si>
    <t>charge id（25-28位）</t>
    <phoneticPr fontId="3" type="noConversion"/>
  </si>
  <si>
    <t>charge id（29-32位）</t>
    <phoneticPr fontId="3" type="noConversion"/>
  </si>
  <si>
    <t>CCU_SET_SIG_ID_CHARGE_ID_9_10_11_12</t>
    <phoneticPr fontId="3" type="noConversion"/>
  </si>
  <si>
    <t>CCU_SET_SIG_ID_CHARGE_ID_13_14_15_16</t>
    <phoneticPr fontId="3" type="noConversion"/>
  </si>
  <si>
    <t>CCU_SET_SIG_ID_CHARGE_ID_17_18_19_20</t>
    <phoneticPr fontId="3" type="noConversion"/>
  </si>
  <si>
    <t>CCU_SET_SIG_ID_CHARGE_ID_21_22_23_24</t>
    <phoneticPr fontId="3" type="noConversion"/>
  </si>
  <si>
    <t>CCU_SET_SIG_ID_CHARGE_ID_25_26_27_28</t>
    <phoneticPr fontId="3" type="noConversion"/>
  </si>
  <si>
    <t>CCU_SET_SIG_ID_CHARGE_ID_29_30_31_32</t>
    <phoneticPr fontId="3" type="noConversion"/>
  </si>
  <si>
    <t>charge id（16-20位）</t>
    <phoneticPr fontId="3" type="noConversion"/>
  </si>
  <si>
    <t>charge id（21-24位）</t>
    <phoneticPr fontId="3" type="noConversion"/>
  </si>
  <si>
    <t>ALARM_ID_PILE_NUM_ERROR</t>
    <phoneticPr fontId="3" type="noConversion"/>
  </si>
  <si>
    <t>桩编号错误</t>
    <phoneticPr fontId="3" type="noConversion"/>
  </si>
  <si>
    <t>ALARM_ID_GUN_NUM_ERROR</t>
    <phoneticPr fontId="3" type="noConversion"/>
  </si>
  <si>
    <t>枪编号错误</t>
    <phoneticPr fontId="3" type="noConversion"/>
  </si>
  <si>
    <t>防雷</t>
    <phoneticPr fontId="3" type="noConversion"/>
  </si>
  <si>
    <t>防撞击</t>
    <phoneticPr fontId="3" type="noConversion"/>
  </si>
  <si>
    <t>ALARM_ID_IMPACT_TEST_ERROR</t>
    <phoneticPr fontId="3" type="noConversion"/>
  </si>
  <si>
    <t>ALARM_ID_PLASTIC_HOUSING_TEST_ERROR</t>
    <phoneticPr fontId="3" type="noConversion"/>
  </si>
  <si>
    <t>塑壳</t>
    <phoneticPr fontId="3" type="noConversion"/>
  </si>
  <si>
    <t>M1卡第一块数据存储密码秘钥1-4字节</t>
    <phoneticPr fontId="3" type="noConversion"/>
  </si>
  <si>
    <t>M1卡第一块数据存储密码秘钥4-8字节</t>
    <phoneticPr fontId="3" type="noConversion"/>
  </si>
  <si>
    <t>M1卡第一块数据存储密码秘钥9-12字节</t>
    <phoneticPr fontId="3" type="noConversion"/>
  </si>
  <si>
    <t>M1卡第二块数据存储密码秘钥1-4字节</t>
    <phoneticPr fontId="3" type="noConversion"/>
  </si>
  <si>
    <t>M1卡第二块数据存储密码秘钥4-8字节</t>
    <phoneticPr fontId="3" type="noConversion"/>
  </si>
  <si>
    <t>M1卡第二块数据存储密码秘钥9-12字节</t>
    <phoneticPr fontId="3" type="noConversion"/>
  </si>
  <si>
    <t>SIGNAL_STATUS_CONNECTOR_A_POSITIVE_DO</t>
    <phoneticPr fontId="3" type="noConversion"/>
  </si>
  <si>
    <t>SIGNAL_STATUS_CONNECTOR_A_NEGATIVE_DO</t>
    <phoneticPr fontId="3" type="noConversion"/>
  </si>
  <si>
    <t>SIGNAL_STATUS_CONNECTOR_B_POSITIVE_DO</t>
    <phoneticPr fontId="3" type="noConversion"/>
  </si>
  <si>
    <t>SIGNAL_STATUS_CONNECTOR_B_NEGATIVE_DO</t>
    <phoneticPr fontId="3" type="noConversion"/>
  </si>
  <si>
    <t>CCU_SET_SIG_ID_M1_SECTOR_FIRST</t>
    <phoneticPr fontId="3" type="noConversion"/>
  </si>
  <si>
    <t>CCU_SET_SIG_ID_M1_BLOCK_FIRST</t>
    <phoneticPr fontId="3" type="noConversion"/>
  </si>
  <si>
    <t>CCU_SET_SIG_ID_M1_PASSWORD_FIRST_1_2_3_4</t>
    <phoneticPr fontId="3" type="noConversion"/>
  </si>
  <si>
    <t>CCU_SET_SIG_ID_M1_PASSWORD_FIRST_5_6_7_8</t>
    <phoneticPr fontId="3" type="noConversion"/>
  </si>
  <si>
    <t>CCU_SET_SIG_ID_M1_PASSWORD_FIRST_9_10_11_12</t>
    <phoneticPr fontId="3" type="noConversion"/>
  </si>
  <si>
    <t>CCU_SET_SIG_ID_M1_SECTOR_SECOND</t>
    <phoneticPr fontId="3" type="noConversion"/>
  </si>
  <si>
    <t>CCU_SET_SIG_ID_M1_BLOCK_SECOND</t>
    <phoneticPr fontId="3" type="noConversion"/>
  </si>
  <si>
    <t>CCU_SET_SIG_ID_M1_PASSWORD_SECOND_1_2_3_4</t>
    <phoneticPr fontId="3" type="noConversion"/>
  </si>
  <si>
    <t>CCU_SET_SIG_ID_M1_PASSWORD_SECOND_5_6_7_8</t>
    <phoneticPr fontId="3" type="noConversion"/>
  </si>
  <si>
    <t>CCU_SET_SIG_ID_M1_PASSWORD_SECOND_9_10_11_12</t>
    <phoneticPr fontId="3" type="noConversion"/>
  </si>
  <si>
    <t>ALARM_ID_EEPROM_CHECK_ERROR</t>
    <phoneticPr fontId="3" type="noConversion"/>
  </si>
  <si>
    <t>EEPROM自检失败</t>
    <phoneticPr fontId="3" type="noConversion"/>
  </si>
  <si>
    <t>桩告警事件信号开始位置</t>
    <phoneticPr fontId="3" type="noConversion"/>
  </si>
  <si>
    <t>CCU_SET_SIG_ID_ENABLE_LOCAL_BILL</t>
    <phoneticPr fontId="3" type="noConversion"/>
  </si>
  <si>
    <t>是否开启本地计费</t>
    <phoneticPr fontId="3" type="noConversion"/>
  </si>
  <si>
    <t>CCU_SET_SIG_ID_USE_POS_FLAG</t>
    <phoneticPr fontId="3" type="noConversion"/>
  </si>
  <si>
    <t>是否使用POS</t>
    <phoneticPr fontId="3" type="noConversion"/>
  </si>
  <si>
    <t>CCU_SET_SIG_ID_USE_RFID_FLAG</t>
    <phoneticPr fontId="3" type="noConversion"/>
  </si>
  <si>
    <t>是否使用RFID</t>
    <phoneticPr fontId="3" type="noConversion"/>
  </si>
  <si>
    <t>CCU_SET_SIG_ID_PILE_STORAGE_BRGIN_FLAG</t>
    <phoneticPr fontId="3" type="noConversion"/>
  </si>
  <si>
    <t>桩存储数据信号起始位置</t>
    <phoneticPr fontId="3" type="noConversion"/>
  </si>
  <si>
    <t>CCU_SET_SIG_ID_PILE_STORAGE_END_FLAG</t>
    <phoneticPr fontId="3" type="noConversion"/>
  </si>
  <si>
    <t>充电单价</t>
    <phoneticPr fontId="3" type="noConversion"/>
  </si>
  <si>
    <t>宽限时间</t>
    <phoneticPr fontId="3" type="noConversion"/>
  </si>
  <si>
    <t>CCU_SET_SIG_ID_GRACE_PERIOD</t>
    <phoneticPr fontId="3" type="noConversion"/>
  </si>
  <si>
    <t>占位费单价</t>
    <phoneticPr fontId="3" type="noConversion"/>
  </si>
  <si>
    <t>CCU_SET_SIG_ID_ADVANCE_CHARGE</t>
    <phoneticPr fontId="3" type="noConversion"/>
  </si>
  <si>
    <t>预扣费金额</t>
    <phoneticPr fontId="3" type="noConversion"/>
  </si>
  <si>
    <t>CCU_SET_SIG_ID_OCCUPATION_FEE_UNIT_PRICE</t>
    <phoneticPr fontId="3" type="noConversion"/>
  </si>
  <si>
    <t>占位费</t>
    <phoneticPr fontId="3" type="noConversion"/>
  </si>
  <si>
    <t>CCU_SET_SIG_ID_CHARGE_PRICE_UNIT_PRICE</t>
    <phoneticPr fontId="3" type="noConversion"/>
  </si>
  <si>
    <t>充电费用</t>
    <phoneticPr fontId="3" type="noConversion"/>
  </si>
  <si>
    <t>CCU_SET_SIG_ID_OCCUPATION_FEE_A</t>
    <phoneticPr fontId="3" type="noConversion"/>
  </si>
  <si>
    <t>CCU_SET_SIG_ID_OCCUPATION_FEE_B</t>
    <phoneticPr fontId="3" type="noConversion"/>
  </si>
  <si>
    <t>CCU_SET_SIG_ID_CHARGE_PRICE_A</t>
    <phoneticPr fontId="3" type="noConversion"/>
  </si>
  <si>
    <t>CCU_SET_SIG_ID_CHARGE_PRICE_B</t>
    <phoneticPr fontId="3" type="noConversion"/>
  </si>
  <si>
    <t xml:space="preserve">CCU_SAM_SIG_ID_PCB_TEMP_1 </t>
    <phoneticPr fontId="3" type="noConversion"/>
  </si>
  <si>
    <t xml:space="preserve">CCU_SAM_SIG_ID_PCB_TEMP_2 </t>
    <phoneticPr fontId="3" type="noConversion"/>
  </si>
  <si>
    <t>CCU_SAM_SIG_ID_GNUA_POSITIVE</t>
  </si>
  <si>
    <t>CCU_SAM_SIG_ID_GNUA_NEGATIVE</t>
  </si>
  <si>
    <t>CCU_SAM_SIG_ID_GNUB_POSITIVE</t>
  </si>
  <si>
    <t>CCU_SAM_SIG_ID_GNUB_NEGATIVE</t>
  </si>
  <si>
    <t>升级状态</t>
    <phoneticPr fontId="3" type="noConversion"/>
  </si>
  <si>
    <t>CCU_SAM_SIG_ID_UPDATE_STATE</t>
  </si>
  <si>
    <t>CCU板温1</t>
  </si>
  <si>
    <t>CCU板温2</t>
  </si>
  <si>
    <t>A枪正极枪温</t>
    <phoneticPr fontId="3" type="noConversion"/>
  </si>
  <si>
    <t>A枪负极枪温</t>
    <phoneticPr fontId="3" type="noConversion"/>
  </si>
  <si>
    <t>B枪正极枪温</t>
    <phoneticPr fontId="3" type="noConversion"/>
  </si>
  <si>
    <t>B枪负极枪温</t>
    <phoneticPr fontId="3" type="noConversion"/>
  </si>
  <si>
    <t>CCU_SET_SIG_ID_PAYMENT_FLAG_A</t>
    <phoneticPr fontId="3" type="noConversion"/>
  </si>
  <si>
    <t>CCU_SET_SIG_ID_PAYMENT_FLAG_B</t>
    <phoneticPr fontId="3" type="noConversion"/>
  </si>
  <si>
    <t>A枪扣款标志位</t>
    <phoneticPr fontId="3" type="noConversion"/>
  </si>
  <si>
    <t>B枪扣款标志位</t>
    <phoneticPr fontId="3" type="noConversion"/>
  </si>
  <si>
    <t>CCU_SAM_SIG_ID_CHARGE_MAX_VOLT</t>
    <phoneticPr fontId="3" type="noConversion"/>
  </si>
  <si>
    <t>CCU_SAM_SIG_ID_OCCUPATION_FEE_A</t>
    <phoneticPr fontId="3" type="noConversion"/>
  </si>
  <si>
    <t>CCU_SAM_SIG_ID_OCCUPATION_FEE_B</t>
    <phoneticPr fontId="3" type="noConversion"/>
  </si>
  <si>
    <t>CCU_SAM_SIG_ID_CHARGE_PRICE_A</t>
    <phoneticPr fontId="3" type="noConversion"/>
  </si>
  <si>
    <t>CCU_SAM_SIG_ID_CHARGE_PRICE_B</t>
    <phoneticPr fontId="3" type="noConversion"/>
  </si>
  <si>
    <t>CCS1 12V上限值</t>
    <phoneticPr fontId="3" type="noConversion"/>
  </si>
  <si>
    <t>CCS1 12V下限值</t>
    <phoneticPr fontId="3" type="noConversion"/>
  </si>
  <si>
    <t>CCS1 6V上限值</t>
    <phoneticPr fontId="3" type="noConversion"/>
  </si>
  <si>
    <t>CCS1 6V下限值</t>
    <phoneticPr fontId="3" type="noConversion"/>
  </si>
  <si>
    <t>CCS1 4V上限值</t>
    <phoneticPr fontId="3" type="noConversion"/>
  </si>
  <si>
    <t>CCS1 4V下限值</t>
    <phoneticPr fontId="3" type="noConversion"/>
  </si>
  <si>
    <t>CCU_SET_SIG_ID_WARN_TEMP_A</t>
    <phoneticPr fontId="3" type="noConversion"/>
  </si>
  <si>
    <t>CCU_SET_SIG_ID_FAULT_TEMP_A</t>
    <phoneticPr fontId="3" type="noConversion"/>
  </si>
  <si>
    <t>CCU_SET_SIG_ID_DIFF_TEMP_A</t>
    <phoneticPr fontId="3" type="noConversion"/>
  </si>
  <si>
    <t>A枪告警枪温</t>
    <phoneticPr fontId="3" type="noConversion"/>
  </si>
  <si>
    <t>A枪故障枪温</t>
    <phoneticPr fontId="3" type="noConversion"/>
  </si>
  <si>
    <t>A枪枪温温差阈值</t>
    <phoneticPr fontId="3" type="noConversion"/>
  </si>
  <si>
    <t>CCU_SET_SIG_ID_WARN_TEMP_B</t>
    <phoneticPr fontId="3" type="noConversion"/>
  </si>
  <si>
    <t>CCU_SET_SIG_ID_FAULT_TEMP_B</t>
    <phoneticPr fontId="3" type="noConversion"/>
  </si>
  <si>
    <t>CCU_SET_SIG_ID_DIFF_TEMP_B</t>
    <phoneticPr fontId="3" type="noConversion"/>
  </si>
  <si>
    <t>B枪告警枪温</t>
    <phoneticPr fontId="3" type="noConversion"/>
  </si>
  <si>
    <t>B枪故障枪温</t>
    <phoneticPr fontId="3" type="noConversion"/>
  </si>
  <si>
    <t>B枪枪温温差阈值</t>
    <phoneticPr fontId="3" type="noConversion"/>
  </si>
  <si>
    <t>CIG小板通讯丢失</t>
    <phoneticPr fontId="3" type="noConversion"/>
  </si>
  <si>
    <t>ALARM_ID_CIG_COMM_LOST_ERROR</t>
    <phoneticPr fontId="3" type="noConversion"/>
  </si>
  <si>
    <t>CCU_SET_SIG_ID_SN_NUMBER_17_18_19_20</t>
    <phoneticPr fontId="3" type="noConversion"/>
  </si>
  <si>
    <t>CCU_SET_SIG_ID_SN_NUMBER_21_22_23_24</t>
    <phoneticPr fontId="3" type="noConversion"/>
  </si>
  <si>
    <t>CCU_SET_SIG_ID_SN_NUMBER_25_26_27_28</t>
    <phoneticPr fontId="3" type="noConversion"/>
  </si>
  <si>
    <t>产品SN(17、18、19、20位)</t>
    <phoneticPr fontId="3" type="noConversion"/>
  </si>
  <si>
    <t>产品SN(21、22、23、24位)</t>
    <phoneticPr fontId="3" type="noConversion"/>
  </si>
  <si>
    <t>产品SN(25、26、27、28位)</t>
    <phoneticPr fontId="3" type="noConversion"/>
  </si>
  <si>
    <t>CCU_SET_SIG_ID_CC1_12V_MAX</t>
    <phoneticPr fontId="3" type="noConversion"/>
  </si>
  <si>
    <t>CCU_SET_SIG_ID_CC1_12V_MIN</t>
    <phoneticPr fontId="3" type="noConversion"/>
  </si>
  <si>
    <t>CCU_SET_SIG_ID_CC1_6V_MAX</t>
    <phoneticPr fontId="3" type="noConversion"/>
  </si>
  <si>
    <t>CCU_SET_SIG_ID_CC1_6V_MIN</t>
    <phoneticPr fontId="3" type="noConversion"/>
  </si>
  <si>
    <t>CCU_SET_SIG_ID_CC1_4V_MAX</t>
    <phoneticPr fontId="3" type="noConversion"/>
  </si>
  <si>
    <t>CCU_SET_SIG_ID_CC1_4V_MIN</t>
    <phoneticPr fontId="3" type="noConversion"/>
  </si>
  <si>
    <t>CCU_SET_SIG_ID_LIGHT_ON_TIME</t>
    <phoneticPr fontId="3" type="noConversion"/>
  </si>
  <si>
    <t>CCU_SET_SIG_ID_LIGHT_OFF_TIME</t>
    <phoneticPr fontId="3" type="noConversion"/>
  </si>
  <si>
    <t>照明灯开始时间</t>
    <phoneticPr fontId="3" type="noConversion"/>
  </si>
  <si>
    <t>照明灯关闭时间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</si>
</sst>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宋体"/>
      <charset val="134"/>
    </font>
    <font>
      <b/>
      <i/>
      <sz val="14"/>
      <color indexed="8"/>
      <name val="宋体"/>
      <charset val="134"/>
    </font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1" fillId="2" borderId="2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2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4" fillId="3" borderId="1" xfId="0" applyFont="1" applyFill="1" applyBorder="1">
      <alignment vertical="center"/>
    </xf>
    <xf numFmtId="0" fontId="0" fillId="7" borderId="3" xfId="0" applyFill="1" applyBorder="1">
      <alignment vertical="center"/>
    </xf>
    <xf numFmtId="0" fontId="4" fillId="7" borderId="3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7" borderId="4" xfId="0" applyFont="1" applyFill="1" applyBorder="1">
      <alignment vertical="center"/>
    </xf>
    <xf numFmtId="0" fontId="4" fillId="3" borderId="3" xfId="0" applyFont="1" applyFill="1" applyBorder="1">
      <alignment vertical="center"/>
    </xf>
    <xf numFmtId="0" fontId="4" fillId="8" borderId="3" xfId="0" applyFont="1" applyFill="1" applyBorder="1">
      <alignment vertical="center"/>
    </xf>
    <xf numFmtId="0" fontId="4" fillId="4" borderId="3" xfId="0" applyFont="1" applyFill="1" applyBorder="1">
      <alignment vertical="center"/>
    </xf>
    <xf numFmtId="0" fontId="4" fillId="6" borderId="1" xfId="0" applyFont="1" applyFill="1" applyBorder="1">
      <alignment vertical="center"/>
    </xf>
  </cellXfs>
  <cellStyles count="2">
    <cellStyle name="常规" xfId="0" builtinId="0"/>
    <cellStyle name="常规 3" xfId="1" xr:uid="{00000000-0005-0000-0000-000031000000}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3</xdr:row>
      <xdr:rowOff>28575</xdr:rowOff>
    </xdr:from>
    <xdr:to>
      <xdr:col>5</xdr:col>
      <xdr:colOff>85725</xdr:colOff>
      <xdr:row>7</xdr:row>
      <xdr:rowOff>66675</xdr:rowOff>
    </xdr:to>
    <xdr:sp macro="[0]!CreateHeadFile_Click" textlink="">
      <xdr:nvSpPr>
        <xdr:cNvPr id="3" name="圆角矩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>
        <a:xfrm>
          <a:off x="1257300" y="561975"/>
          <a:ext cx="1971675" cy="749300"/>
        </a:xfrm>
        <a:custGeom>
          <a:avLst/>
          <a:gdLst>
            <a:gd name="T0" fmla="*/ 35009 w 2185146"/>
            <a:gd name="T1" fmla="*/ 35009 h 717177"/>
            <a:gd name="T2" fmla="*/ 2150136 w 2185146"/>
            <a:gd name="T3" fmla="*/ 682167 h 717177"/>
          </a:gdLst>
          <a:ahLst/>
          <a:cxnLst>
            <a:cxn ang="0">
              <a:pos x="0" y="119531"/>
            </a:cxn>
            <a:cxn ang="0">
              <a:pos x="0" y="119531"/>
            </a:cxn>
            <a:cxn ang="0">
              <a:pos x="119530" y="0"/>
            </a:cxn>
            <a:cxn ang="0">
              <a:pos x="2065614" y="0"/>
            </a:cxn>
            <a:cxn ang="0">
              <a:pos x="2065613" y="0"/>
            </a:cxn>
            <a:cxn ang="0">
              <a:pos x="2185145" y="119531"/>
            </a:cxn>
            <a:cxn ang="0">
              <a:pos x="2185146" y="597645"/>
            </a:cxn>
            <a:cxn ang="0">
              <a:pos x="2185146" y="597645"/>
            </a:cxn>
            <a:cxn ang="0">
              <a:pos x="2065615" y="717176"/>
            </a:cxn>
            <a:cxn ang="0">
              <a:pos x="119531" y="717177"/>
            </a:cxn>
            <a:cxn ang="0">
              <a:pos x="119531" y="717177"/>
            </a:cxn>
            <a:cxn ang="0">
              <a:pos x="0" y="597646"/>
            </a:cxn>
          </a:cxnLst>
          <a:rect l="T0" t="T1" r="T2" b="T3"/>
          <a:pathLst>
            <a:path w="2185146" h="717177">
              <a:moveTo>
                <a:pt x="0" y="119531"/>
              </a:moveTo>
              <a:lnTo>
                <a:pt x="0" y="119531"/>
              </a:lnTo>
              <a:cubicBezTo>
                <a:pt x="0" y="53515"/>
                <a:pt x="53515" y="0"/>
                <a:pt x="119530" y="0"/>
              </a:cubicBezTo>
              <a:lnTo>
                <a:pt x="2065614" y="0"/>
              </a:lnTo>
              <a:lnTo>
                <a:pt x="2065613" y="0"/>
              </a:lnTo>
              <a:cubicBezTo>
                <a:pt x="2131629" y="0"/>
                <a:pt x="2185145" y="53515"/>
                <a:pt x="2185145" y="119531"/>
              </a:cubicBezTo>
              <a:lnTo>
                <a:pt x="2185146" y="597645"/>
              </a:lnTo>
              <a:cubicBezTo>
                <a:pt x="2185146" y="663660"/>
                <a:pt x="2131630" y="717175"/>
                <a:pt x="2065615" y="717176"/>
              </a:cubicBezTo>
              <a:lnTo>
                <a:pt x="119531" y="717177"/>
              </a:lnTo>
              <a:cubicBezTo>
                <a:pt x="53515" y="717177"/>
                <a:pt x="0" y="663661"/>
                <a:pt x="0" y="597646"/>
              </a:cubicBezTo>
              <a:close/>
            </a:path>
          </a:pathLst>
        </a:custGeom>
        <a:gradFill rotWithShape="1">
          <a:gsLst>
            <a:gs pos="0">
              <a:srgbClr val="A6E4FF"/>
            </a:gs>
            <a:gs pos="35001">
              <a:srgbClr val="BFEDFF"/>
            </a:gs>
            <a:gs pos="100000">
              <a:srgbClr val="E6F9FF"/>
            </a:gs>
          </a:gsLst>
          <a:lin ang="16200000" scaled="1"/>
        </a:gradFill>
        <a:ln w="9525">
          <a:solidFill>
            <a:srgbClr val="46A9C4"/>
          </a:solidFill>
          <a:round/>
        </a:ln>
        <a:effectLst>
          <a:outerShdw dist="20000" dir="5400000" algn="ctr" rotWithShape="0">
            <a:srgbClr val="000000">
              <a:alpha val="38000"/>
            </a:srgbClr>
          </a:outerShdw>
        </a:effec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生成（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Calibri" panose="020F0502020204030204"/>
            </a:rPr>
            <a:t>.h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）头文件</a:t>
          </a:r>
        </a:p>
      </xdr:txBody>
    </xdr:sp>
    <xdr:clientData/>
  </xdr:twoCellAnchor>
  <xdr:twoCellAnchor>
    <xdr:from>
      <xdr:col>1</xdr:col>
      <xdr:colOff>647700</xdr:colOff>
      <xdr:row>10</xdr:row>
      <xdr:rowOff>0</xdr:rowOff>
    </xdr:from>
    <xdr:to>
      <xdr:col>5</xdr:col>
      <xdr:colOff>95250</xdr:colOff>
      <xdr:row>14</xdr:row>
      <xdr:rowOff>38100</xdr:rowOff>
    </xdr:to>
    <xdr:sp macro="[0]!CreateSetSignalMap" textlink="">
      <xdr:nvSpPr>
        <xdr:cNvPr id="5" name="圆角矩形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>
        <a:xfrm>
          <a:off x="1257300" y="1778000"/>
          <a:ext cx="1981200" cy="749300"/>
        </a:xfrm>
        <a:custGeom>
          <a:avLst/>
          <a:gdLst>
            <a:gd name="T0" fmla="*/ 35009 w 2185146"/>
            <a:gd name="T1" fmla="*/ 35009 h 717177"/>
            <a:gd name="T2" fmla="*/ 2150136 w 2185146"/>
            <a:gd name="T3" fmla="*/ 682167 h 717177"/>
          </a:gdLst>
          <a:ahLst/>
          <a:cxnLst>
            <a:cxn ang="0">
              <a:pos x="0" y="119531"/>
            </a:cxn>
            <a:cxn ang="0">
              <a:pos x="0" y="119531"/>
            </a:cxn>
            <a:cxn ang="0">
              <a:pos x="119530" y="0"/>
            </a:cxn>
            <a:cxn ang="0">
              <a:pos x="2065614" y="0"/>
            </a:cxn>
            <a:cxn ang="0">
              <a:pos x="2065613" y="0"/>
            </a:cxn>
            <a:cxn ang="0">
              <a:pos x="2185145" y="119531"/>
            </a:cxn>
            <a:cxn ang="0">
              <a:pos x="2185146" y="597645"/>
            </a:cxn>
            <a:cxn ang="0">
              <a:pos x="2185146" y="597645"/>
            </a:cxn>
            <a:cxn ang="0">
              <a:pos x="2065615" y="717176"/>
            </a:cxn>
            <a:cxn ang="0">
              <a:pos x="119531" y="717177"/>
            </a:cxn>
            <a:cxn ang="0">
              <a:pos x="119531" y="717177"/>
            </a:cxn>
            <a:cxn ang="0">
              <a:pos x="0" y="597646"/>
            </a:cxn>
          </a:cxnLst>
          <a:rect l="T0" t="T1" r="T2" b="T3"/>
          <a:pathLst>
            <a:path w="2185146" h="717177">
              <a:moveTo>
                <a:pt x="0" y="119531"/>
              </a:moveTo>
              <a:lnTo>
                <a:pt x="0" y="119531"/>
              </a:lnTo>
              <a:cubicBezTo>
                <a:pt x="0" y="53515"/>
                <a:pt x="53515" y="0"/>
                <a:pt x="119530" y="0"/>
              </a:cubicBezTo>
              <a:lnTo>
                <a:pt x="2065614" y="0"/>
              </a:lnTo>
              <a:lnTo>
                <a:pt x="2065613" y="0"/>
              </a:lnTo>
              <a:cubicBezTo>
                <a:pt x="2131629" y="0"/>
                <a:pt x="2185145" y="53515"/>
                <a:pt x="2185145" y="119531"/>
              </a:cubicBezTo>
              <a:lnTo>
                <a:pt x="2185146" y="597645"/>
              </a:lnTo>
              <a:cubicBezTo>
                <a:pt x="2185146" y="663660"/>
                <a:pt x="2131630" y="717175"/>
                <a:pt x="2065615" y="717176"/>
              </a:cubicBezTo>
              <a:lnTo>
                <a:pt x="119531" y="717177"/>
              </a:lnTo>
              <a:cubicBezTo>
                <a:pt x="53515" y="717177"/>
                <a:pt x="0" y="663661"/>
                <a:pt x="0" y="597646"/>
              </a:cubicBezTo>
              <a:close/>
            </a:path>
          </a:pathLst>
        </a:custGeom>
        <a:gradFill rotWithShape="1">
          <a:gsLst>
            <a:gs pos="0">
              <a:srgbClr val="A6E4FF"/>
            </a:gs>
            <a:gs pos="35001">
              <a:srgbClr val="BFEDFF"/>
            </a:gs>
            <a:gs pos="100000">
              <a:srgbClr val="E6F9FF"/>
            </a:gs>
          </a:gsLst>
          <a:lin ang="16200000" scaled="1"/>
        </a:gradFill>
        <a:ln w="9525">
          <a:solidFill>
            <a:srgbClr val="46A9C4"/>
          </a:solidFill>
          <a:round/>
        </a:ln>
        <a:effectLst>
          <a:outerShdw dist="20000" dir="5400000" algn="ctr" rotWithShape="0">
            <a:srgbClr val="000000">
              <a:alpha val="38000"/>
            </a:srgbClr>
          </a:outerShdw>
        </a:effec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生成（</a:t>
          </a:r>
          <a:r>
            <a:rPr lang="en-US" altLang="zh-CN" sz="1100" b="0" i="0" u="none" strike="noStrike" baseline="0">
              <a:solidFill>
                <a:srgbClr val="000000"/>
              </a:solidFill>
              <a:latin typeface="Calibri" panose="020F0502020204030204"/>
            </a:rPr>
            <a:t>.c</a:t>
          </a: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）源文件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6"/>
  <sheetViews>
    <sheetView tabSelected="1" workbookViewId="0">
      <pane ySplit="1" topLeftCell="A8" activePane="bottomLeft" state="frozen"/>
      <selection pane="bottomLeft" activeCell="B13" sqref="B13"/>
    </sheetView>
  </sheetViews>
  <sheetFormatPr defaultColWidth="9" defaultRowHeight="14.4" x14ac:dyDescent="0.25"/>
  <cols>
    <col min="1" max="1" width="14.21875" customWidth="1"/>
    <col min="2" max="2" width="52.77734375" customWidth="1"/>
    <col min="3" max="3" width="42.44140625" customWidth="1"/>
    <col min="4" max="4" width="22.109375" customWidth="1"/>
    <col min="5" max="6" width="15.77734375" customWidth="1"/>
    <col min="7" max="7" width="8" customWidth="1"/>
    <col min="8" max="8" width="11.109375" customWidth="1"/>
    <col min="9" max="9" width="8.44140625" customWidth="1"/>
    <col min="10" max="10" width="11" customWidth="1"/>
    <col min="11" max="11" width="13.21875" customWidth="1"/>
    <col min="12" max="12" width="11.21875" customWidth="1"/>
    <col min="13" max="13" width="15.77734375" customWidth="1"/>
  </cols>
  <sheetData>
    <row r="1" spans="1:8" ht="30" customHeight="1" x14ac:dyDescent="0.25">
      <c r="A1" s="1" t="s">
        <v>0</v>
      </c>
      <c r="B1" s="1" t="s">
        <v>1</v>
      </c>
      <c r="C1" s="1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</row>
    <row r="2" spans="1:8" x14ac:dyDescent="0.25">
      <c r="A2" s="2">
        <f t="shared" ref="A2:A11" si="0">ROW()-2+1000</f>
        <v>1000</v>
      </c>
      <c r="B2" s="7" t="s">
        <v>8</v>
      </c>
      <c r="C2" s="2" t="s">
        <v>9</v>
      </c>
      <c r="D2" s="2">
        <v>0</v>
      </c>
      <c r="E2" s="2">
        <v>0</v>
      </c>
      <c r="F2" s="2">
        <v>0</v>
      </c>
      <c r="G2" s="2">
        <v>1</v>
      </c>
      <c r="H2" s="2">
        <v>0</v>
      </c>
    </row>
    <row r="3" spans="1:8" x14ac:dyDescent="0.25">
      <c r="A3" s="8">
        <f t="shared" si="0"/>
        <v>1001</v>
      </c>
      <c r="B3" s="8" t="s">
        <v>10</v>
      </c>
      <c r="C3" s="8" t="s">
        <v>11</v>
      </c>
      <c r="D3" s="8">
        <v>0</v>
      </c>
      <c r="E3" s="8">
        <v>2147483647</v>
      </c>
      <c r="F3" s="8">
        <v>0</v>
      </c>
      <c r="G3" s="8">
        <v>1</v>
      </c>
      <c r="H3" s="8">
        <v>0</v>
      </c>
    </row>
    <row r="4" spans="1:8" x14ac:dyDescent="0.25">
      <c r="A4" s="8">
        <f t="shared" si="0"/>
        <v>1002</v>
      </c>
      <c r="B4" s="8" t="s">
        <v>12</v>
      </c>
      <c r="C4" s="8" t="s">
        <v>13</v>
      </c>
      <c r="D4" s="8">
        <v>0</v>
      </c>
      <c r="E4" s="8">
        <v>2147483647</v>
      </c>
      <c r="F4" s="8">
        <v>0</v>
      </c>
      <c r="G4" s="8">
        <v>1</v>
      </c>
      <c r="H4" s="8">
        <v>0</v>
      </c>
    </row>
    <row r="5" spans="1:8" x14ac:dyDescent="0.25">
      <c r="A5" s="8">
        <f t="shared" si="0"/>
        <v>1003</v>
      </c>
      <c r="B5" s="8" t="s">
        <v>14</v>
      </c>
      <c r="C5" s="8" t="s">
        <v>15</v>
      </c>
      <c r="D5" s="8">
        <v>0</v>
      </c>
      <c r="E5" s="8">
        <v>2147483647</v>
      </c>
      <c r="F5" s="8">
        <v>0</v>
      </c>
      <c r="G5" s="8">
        <v>1</v>
      </c>
      <c r="H5" s="8">
        <v>0</v>
      </c>
    </row>
    <row r="6" spans="1:8" x14ac:dyDescent="0.25">
      <c r="A6" s="8">
        <f t="shared" si="0"/>
        <v>1004</v>
      </c>
      <c r="B6" s="8" t="s">
        <v>16</v>
      </c>
      <c r="C6" s="8" t="s">
        <v>17</v>
      </c>
      <c r="D6" s="8">
        <v>0</v>
      </c>
      <c r="E6" s="8">
        <v>2147483647</v>
      </c>
      <c r="F6" s="8">
        <v>0</v>
      </c>
      <c r="G6" s="8">
        <v>1</v>
      </c>
      <c r="H6" s="8">
        <v>0</v>
      </c>
    </row>
    <row r="7" spans="1:8" x14ac:dyDescent="0.25">
      <c r="A7" s="8">
        <f t="shared" si="0"/>
        <v>1005</v>
      </c>
      <c r="B7" s="8" t="s">
        <v>18</v>
      </c>
      <c r="C7" s="8" t="s">
        <v>19</v>
      </c>
      <c r="D7" s="8">
        <v>0</v>
      </c>
      <c r="E7" s="8">
        <v>2147483647</v>
      </c>
      <c r="F7" s="8">
        <v>0</v>
      </c>
      <c r="G7" s="8">
        <v>1</v>
      </c>
      <c r="H7" s="8">
        <v>0</v>
      </c>
    </row>
    <row r="8" spans="1:8" x14ac:dyDescent="0.25">
      <c r="A8" s="8">
        <f t="shared" si="0"/>
        <v>1006</v>
      </c>
      <c r="B8" s="8" t="s">
        <v>20</v>
      </c>
      <c r="C8" s="8" t="s">
        <v>21</v>
      </c>
      <c r="D8" s="8">
        <v>0</v>
      </c>
      <c r="E8" s="8">
        <v>2147483647</v>
      </c>
      <c r="F8" s="8">
        <v>0</v>
      </c>
      <c r="G8" s="8">
        <v>1</v>
      </c>
      <c r="H8" s="8">
        <v>0</v>
      </c>
    </row>
    <row r="9" spans="1:8" x14ac:dyDescent="0.25">
      <c r="A9" s="8">
        <f t="shared" si="0"/>
        <v>1007</v>
      </c>
      <c r="B9" s="8" t="s">
        <v>22</v>
      </c>
      <c r="C9" s="8" t="s">
        <v>23</v>
      </c>
      <c r="D9" s="8">
        <v>0</v>
      </c>
      <c r="E9" s="8">
        <v>2147483647</v>
      </c>
      <c r="F9" s="8">
        <v>0</v>
      </c>
      <c r="G9" s="8">
        <v>1</v>
      </c>
      <c r="H9" s="8">
        <v>0</v>
      </c>
    </row>
    <row r="10" spans="1:8" x14ac:dyDescent="0.25">
      <c r="A10" s="8">
        <f t="shared" si="0"/>
        <v>1008</v>
      </c>
      <c r="B10" s="8" t="s">
        <v>24</v>
      </c>
      <c r="C10" s="8" t="s">
        <v>25</v>
      </c>
      <c r="D10" s="8">
        <v>0</v>
      </c>
      <c r="E10" s="8">
        <v>2147483647</v>
      </c>
      <c r="F10" s="8">
        <v>0</v>
      </c>
      <c r="G10" s="8">
        <v>1</v>
      </c>
      <c r="H10" s="8">
        <v>0</v>
      </c>
    </row>
    <row r="11" spans="1:8" x14ac:dyDescent="0.25">
      <c r="A11" s="8">
        <f t="shared" si="0"/>
        <v>1009</v>
      </c>
      <c r="B11" s="8" t="s">
        <v>26</v>
      </c>
      <c r="C11" s="8" t="s">
        <v>27</v>
      </c>
      <c r="D11" s="8">
        <v>0</v>
      </c>
      <c r="E11" s="8">
        <v>2147483647</v>
      </c>
      <c r="F11" s="8">
        <v>0</v>
      </c>
      <c r="G11" s="8">
        <v>1</v>
      </c>
      <c r="H11" s="8">
        <v>0</v>
      </c>
    </row>
    <row r="12" spans="1:8" x14ac:dyDescent="0.25">
      <c r="A12" s="8">
        <f t="shared" ref="A12:A88" si="1">ROW()-2+1000</f>
        <v>1010</v>
      </c>
      <c r="B12" s="19" t="s">
        <v>339</v>
      </c>
      <c r="C12" s="19" t="s">
        <v>341</v>
      </c>
      <c r="D12" s="8">
        <v>0</v>
      </c>
      <c r="E12" s="8">
        <v>2147483647</v>
      </c>
      <c r="F12" s="8">
        <v>0</v>
      </c>
      <c r="G12" s="8">
        <v>1</v>
      </c>
      <c r="H12" s="8">
        <v>0</v>
      </c>
    </row>
    <row r="13" spans="1:8" x14ac:dyDescent="0.25">
      <c r="A13" s="8">
        <f t="shared" si="1"/>
        <v>1011</v>
      </c>
      <c r="B13" s="19" t="s">
        <v>340</v>
      </c>
      <c r="C13" s="19" t="s">
        <v>342</v>
      </c>
      <c r="D13" s="8">
        <v>0</v>
      </c>
      <c r="E13" s="8">
        <v>2147483647</v>
      </c>
      <c r="F13" s="8">
        <v>0</v>
      </c>
      <c r="G13" s="8">
        <v>1</v>
      </c>
      <c r="H13" s="8">
        <v>0</v>
      </c>
    </row>
    <row r="14" spans="1:8" x14ac:dyDescent="0.25">
      <c r="A14" s="8">
        <f t="shared" si="1"/>
        <v>1012</v>
      </c>
      <c r="B14" s="9" t="s">
        <v>28</v>
      </c>
      <c r="C14" s="9" t="s">
        <v>29</v>
      </c>
      <c r="D14" s="8">
        <v>0</v>
      </c>
      <c r="E14" s="8">
        <v>2147483647</v>
      </c>
      <c r="F14" s="8">
        <v>0</v>
      </c>
      <c r="G14" s="8">
        <v>1</v>
      </c>
      <c r="H14" s="8">
        <v>0</v>
      </c>
    </row>
    <row r="15" spans="1:8" x14ac:dyDescent="0.25">
      <c r="A15" s="8">
        <f t="shared" si="1"/>
        <v>1013</v>
      </c>
      <c r="B15" s="9" t="s">
        <v>30</v>
      </c>
      <c r="C15" s="9" t="s">
        <v>31</v>
      </c>
      <c r="D15" s="8">
        <v>0</v>
      </c>
      <c r="E15" s="8">
        <v>2147483647</v>
      </c>
      <c r="F15" s="8">
        <v>0</v>
      </c>
      <c r="G15" s="8">
        <v>1</v>
      </c>
      <c r="H15" s="8">
        <v>0</v>
      </c>
    </row>
    <row r="16" spans="1:8" x14ac:dyDescent="0.25">
      <c r="A16" s="8">
        <f t="shared" si="1"/>
        <v>1014</v>
      </c>
      <c r="B16" s="9" t="s">
        <v>32</v>
      </c>
      <c r="C16" s="9" t="s">
        <v>33</v>
      </c>
      <c r="D16" s="8">
        <v>0</v>
      </c>
      <c r="E16" s="8">
        <v>2147483647</v>
      </c>
      <c r="F16" s="8">
        <v>0</v>
      </c>
      <c r="G16" s="8">
        <v>1</v>
      </c>
      <c r="H16" s="8">
        <v>0</v>
      </c>
    </row>
    <row r="17" spans="1:8" x14ac:dyDescent="0.25">
      <c r="A17" s="2">
        <f t="shared" si="1"/>
        <v>1015</v>
      </c>
      <c r="B17" s="7" t="s">
        <v>34</v>
      </c>
      <c r="C17" s="5" t="s">
        <v>35</v>
      </c>
      <c r="D17" s="2">
        <v>0</v>
      </c>
      <c r="E17" s="2">
        <v>0</v>
      </c>
      <c r="F17" s="2">
        <v>0</v>
      </c>
      <c r="G17" s="2">
        <v>1</v>
      </c>
      <c r="H17" s="2">
        <v>0</v>
      </c>
    </row>
    <row r="18" spans="1:8" x14ac:dyDescent="0.25">
      <c r="A18" s="5">
        <f t="shared" si="1"/>
        <v>1016</v>
      </c>
      <c r="B18" s="5" t="s">
        <v>267</v>
      </c>
      <c r="C18" s="5" t="s">
        <v>268</v>
      </c>
      <c r="D18" s="2">
        <v>0</v>
      </c>
      <c r="E18" s="2">
        <v>0</v>
      </c>
      <c r="F18" s="2">
        <v>0</v>
      </c>
      <c r="G18" s="2">
        <v>1</v>
      </c>
      <c r="H18" s="2">
        <v>0</v>
      </c>
    </row>
    <row r="19" spans="1:8" x14ac:dyDescent="0.25">
      <c r="A19" s="3">
        <f t="shared" si="1"/>
        <v>1017</v>
      </c>
      <c r="B19" s="14" t="s">
        <v>156</v>
      </c>
      <c r="C19" s="14" t="s">
        <v>163</v>
      </c>
      <c r="D19" s="3">
        <v>0</v>
      </c>
      <c r="E19" s="3">
        <v>2147483647</v>
      </c>
      <c r="F19" s="3">
        <v>0</v>
      </c>
      <c r="G19" s="3">
        <v>1</v>
      </c>
      <c r="H19" s="3">
        <v>0</v>
      </c>
    </row>
    <row r="20" spans="1:8" x14ac:dyDescent="0.25">
      <c r="A20" s="3">
        <f t="shared" si="1"/>
        <v>1018</v>
      </c>
      <c r="B20" s="14" t="s">
        <v>158</v>
      </c>
      <c r="C20" s="14" t="s">
        <v>164</v>
      </c>
      <c r="D20" s="3">
        <v>0</v>
      </c>
      <c r="E20" s="3">
        <v>2147483647</v>
      </c>
      <c r="F20" s="3">
        <v>0</v>
      </c>
      <c r="G20" s="3">
        <v>1</v>
      </c>
      <c r="H20" s="3">
        <v>0</v>
      </c>
    </row>
    <row r="21" spans="1:8" x14ac:dyDescent="0.25">
      <c r="A21" s="3">
        <f t="shared" si="1"/>
        <v>1019</v>
      </c>
      <c r="B21" s="14" t="s">
        <v>160</v>
      </c>
      <c r="C21" s="14" t="s">
        <v>165</v>
      </c>
      <c r="D21" s="3">
        <v>0</v>
      </c>
      <c r="E21" s="3">
        <v>2147483647</v>
      </c>
      <c r="F21" s="3">
        <v>0</v>
      </c>
      <c r="G21" s="3">
        <v>1</v>
      </c>
      <c r="H21" s="3">
        <v>0</v>
      </c>
    </row>
    <row r="22" spans="1:8" x14ac:dyDescent="0.25">
      <c r="A22" s="3">
        <f t="shared" si="1"/>
        <v>1020</v>
      </c>
      <c r="B22" s="14" t="s">
        <v>162</v>
      </c>
      <c r="C22" s="14" t="s">
        <v>166</v>
      </c>
      <c r="D22" s="3">
        <v>0</v>
      </c>
      <c r="E22" s="3">
        <v>2147483647</v>
      </c>
      <c r="F22" s="3">
        <v>0</v>
      </c>
      <c r="G22" s="3">
        <v>1</v>
      </c>
      <c r="H22" s="3">
        <v>0</v>
      </c>
    </row>
    <row r="23" spans="1:8" x14ac:dyDescent="0.25">
      <c r="A23" s="3">
        <f t="shared" si="1"/>
        <v>1021</v>
      </c>
      <c r="B23" s="14" t="s">
        <v>167</v>
      </c>
      <c r="C23" s="14" t="s">
        <v>171</v>
      </c>
      <c r="D23" s="3">
        <v>0</v>
      </c>
      <c r="E23" s="3">
        <v>2147483647</v>
      </c>
      <c r="F23" s="4">
        <v>0</v>
      </c>
      <c r="G23" s="4">
        <v>1</v>
      </c>
      <c r="H23" s="4">
        <v>0</v>
      </c>
    </row>
    <row r="24" spans="1:8" x14ac:dyDescent="0.25">
      <c r="A24" s="3">
        <f t="shared" si="1"/>
        <v>1022</v>
      </c>
      <c r="B24" s="14" t="s">
        <v>168</v>
      </c>
      <c r="C24" s="14" t="s">
        <v>172</v>
      </c>
      <c r="D24" s="4">
        <v>0</v>
      </c>
      <c r="E24" s="4">
        <v>2147483647</v>
      </c>
      <c r="F24" s="4">
        <v>0</v>
      </c>
      <c r="G24" s="4">
        <v>1</v>
      </c>
      <c r="H24" s="4">
        <v>0</v>
      </c>
    </row>
    <row r="25" spans="1:8" x14ac:dyDescent="0.25">
      <c r="A25" s="3">
        <f t="shared" si="1"/>
        <v>1023</v>
      </c>
      <c r="B25" s="14" t="s">
        <v>169</v>
      </c>
      <c r="C25" s="14" t="s">
        <v>173</v>
      </c>
      <c r="D25" s="4">
        <v>0</v>
      </c>
      <c r="E25" s="4">
        <v>2147483647</v>
      </c>
      <c r="F25" s="4">
        <v>0</v>
      </c>
      <c r="G25" s="4">
        <v>1</v>
      </c>
      <c r="H25" s="4">
        <v>0</v>
      </c>
    </row>
    <row r="26" spans="1:8" x14ac:dyDescent="0.25">
      <c r="A26" s="3">
        <f t="shared" si="1"/>
        <v>1024</v>
      </c>
      <c r="B26" s="4" t="s">
        <v>170</v>
      </c>
      <c r="C26" s="14" t="s">
        <v>174</v>
      </c>
      <c r="D26" s="4">
        <v>0</v>
      </c>
      <c r="E26" s="4">
        <v>2147483647</v>
      </c>
      <c r="F26" s="4">
        <v>0</v>
      </c>
      <c r="G26" s="4">
        <v>1</v>
      </c>
      <c r="H26" s="4">
        <v>0</v>
      </c>
    </row>
    <row r="27" spans="1:8" x14ac:dyDescent="0.25">
      <c r="A27" s="3">
        <f t="shared" si="1"/>
        <v>1025</v>
      </c>
      <c r="B27" s="14" t="s">
        <v>155</v>
      </c>
      <c r="C27" s="4" t="s">
        <v>36</v>
      </c>
      <c r="D27" s="4">
        <v>0</v>
      </c>
      <c r="E27" s="4">
        <v>2147483647</v>
      </c>
      <c r="F27" s="4">
        <v>0</v>
      </c>
      <c r="G27" s="4">
        <v>1</v>
      </c>
      <c r="H27" s="4">
        <v>0</v>
      </c>
    </row>
    <row r="28" spans="1:8" x14ac:dyDescent="0.25">
      <c r="A28" s="3">
        <f t="shared" si="1"/>
        <v>1026</v>
      </c>
      <c r="B28" s="14" t="s">
        <v>157</v>
      </c>
      <c r="C28" s="4" t="s">
        <v>37</v>
      </c>
      <c r="D28" s="4">
        <v>0</v>
      </c>
      <c r="E28" s="4">
        <v>2147483647</v>
      </c>
      <c r="F28" s="4">
        <v>0</v>
      </c>
      <c r="G28" s="4">
        <v>1</v>
      </c>
      <c r="H28" s="4">
        <v>0</v>
      </c>
    </row>
    <row r="29" spans="1:8" x14ac:dyDescent="0.25">
      <c r="A29" s="3">
        <f t="shared" si="1"/>
        <v>1027</v>
      </c>
      <c r="B29" s="14" t="s">
        <v>159</v>
      </c>
      <c r="C29" s="4" t="s">
        <v>38</v>
      </c>
      <c r="D29" s="4">
        <v>0</v>
      </c>
      <c r="E29" s="4">
        <v>2147483647</v>
      </c>
      <c r="F29" s="4">
        <v>0</v>
      </c>
      <c r="G29" s="4">
        <v>1</v>
      </c>
      <c r="H29" s="4">
        <v>0</v>
      </c>
    </row>
    <row r="30" spans="1:8" x14ac:dyDescent="0.25">
      <c r="A30" s="3">
        <f t="shared" si="1"/>
        <v>1028</v>
      </c>
      <c r="B30" s="14" t="s">
        <v>161</v>
      </c>
      <c r="C30" s="4" t="s">
        <v>39</v>
      </c>
      <c r="D30" s="4">
        <v>0</v>
      </c>
      <c r="E30" s="4">
        <v>2147483647</v>
      </c>
      <c r="F30" s="4">
        <v>0</v>
      </c>
      <c r="G30" s="4">
        <v>1</v>
      </c>
      <c r="H30" s="4">
        <v>0</v>
      </c>
    </row>
    <row r="31" spans="1:8" x14ac:dyDescent="0.25">
      <c r="A31" s="3">
        <f t="shared" si="1"/>
        <v>1029</v>
      </c>
      <c r="B31" s="14" t="s">
        <v>327</v>
      </c>
      <c r="C31" s="14" t="s">
        <v>330</v>
      </c>
      <c r="D31" s="4">
        <v>0</v>
      </c>
      <c r="E31" s="4">
        <v>2147483647</v>
      </c>
      <c r="F31" s="4">
        <v>0</v>
      </c>
      <c r="G31" s="4">
        <v>1</v>
      </c>
      <c r="H31" s="4">
        <v>0</v>
      </c>
    </row>
    <row r="32" spans="1:8" x14ac:dyDescent="0.25">
      <c r="A32" s="3">
        <f t="shared" si="1"/>
        <v>1030</v>
      </c>
      <c r="B32" s="14" t="s">
        <v>328</v>
      </c>
      <c r="C32" s="14" t="s">
        <v>331</v>
      </c>
      <c r="D32" s="4">
        <v>0</v>
      </c>
      <c r="E32" s="4">
        <v>2147483647</v>
      </c>
      <c r="F32" s="4">
        <v>0</v>
      </c>
      <c r="G32" s="4">
        <v>1</v>
      </c>
      <c r="H32" s="4">
        <v>0</v>
      </c>
    </row>
    <row r="33" spans="1:8" x14ac:dyDescent="0.25">
      <c r="A33" s="3">
        <f t="shared" si="1"/>
        <v>1031</v>
      </c>
      <c r="B33" s="14" t="s">
        <v>329</v>
      </c>
      <c r="C33" s="14" t="s">
        <v>332</v>
      </c>
      <c r="D33" s="4">
        <v>0</v>
      </c>
      <c r="E33" s="4">
        <v>2147483647</v>
      </c>
      <c r="F33" s="4">
        <v>0</v>
      </c>
      <c r="G33" s="4">
        <v>1</v>
      </c>
      <c r="H33" s="4">
        <v>0</v>
      </c>
    </row>
    <row r="34" spans="1:8" x14ac:dyDescent="0.25">
      <c r="A34" s="3">
        <f t="shared" si="1"/>
        <v>1032</v>
      </c>
      <c r="B34" s="14" t="s">
        <v>178</v>
      </c>
      <c r="C34" s="4" t="s">
        <v>40</v>
      </c>
      <c r="D34" s="4">
        <v>0</v>
      </c>
      <c r="E34" s="4">
        <v>2147483647</v>
      </c>
      <c r="F34" s="4">
        <v>0</v>
      </c>
      <c r="G34" s="4">
        <v>1</v>
      </c>
      <c r="H34" s="4">
        <v>0</v>
      </c>
    </row>
    <row r="35" spans="1:8" x14ac:dyDescent="0.25">
      <c r="A35" s="3">
        <f t="shared" si="1"/>
        <v>1033</v>
      </c>
      <c r="B35" s="18" t="s">
        <v>179</v>
      </c>
      <c r="C35" s="18" t="s">
        <v>180</v>
      </c>
      <c r="D35" s="4">
        <v>0</v>
      </c>
      <c r="E35" s="4">
        <v>2147483647</v>
      </c>
      <c r="F35" s="4">
        <v>0</v>
      </c>
      <c r="G35" s="4">
        <v>1</v>
      </c>
      <c r="H35" s="4">
        <v>0</v>
      </c>
    </row>
    <row r="36" spans="1:8" x14ac:dyDescent="0.25">
      <c r="A36" s="3">
        <f t="shared" si="1"/>
        <v>1034</v>
      </c>
      <c r="B36" s="14" t="s">
        <v>111</v>
      </c>
      <c r="C36" s="14" t="s">
        <v>175</v>
      </c>
      <c r="D36" s="4">
        <v>0</v>
      </c>
      <c r="E36" s="4">
        <v>2147483647</v>
      </c>
      <c r="F36" s="4">
        <v>0</v>
      </c>
      <c r="G36" s="4">
        <v>1</v>
      </c>
      <c r="H36" s="4">
        <v>0</v>
      </c>
    </row>
    <row r="37" spans="1:8" x14ac:dyDescent="0.25">
      <c r="A37" s="3">
        <f t="shared" si="1"/>
        <v>1035</v>
      </c>
      <c r="B37" s="18" t="s">
        <v>214</v>
      </c>
      <c r="C37" s="18" t="s">
        <v>213</v>
      </c>
      <c r="D37" s="4">
        <v>0</v>
      </c>
      <c r="E37" s="4">
        <v>2147483647</v>
      </c>
      <c r="F37" s="4">
        <v>0</v>
      </c>
      <c r="G37" s="4">
        <v>1</v>
      </c>
      <c r="H37" s="4">
        <v>0</v>
      </c>
    </row>
    <row r="38" spans="1:8" x14ac:dyDescent="0.25">
      <c r="A38" s="3">
        <f t="shared" si="1"/>
        <v>1036</v>
      </c>
      <c r="B38" s="18" t="s">
        <v>215</v>
      </c>
      <c r="C38" s="18" t="s">
        <v>216</v>
      </c>
      <c r="D38" s="4">
        <v>0</v>
      </c>
      <c r="E38" s="4">
        <v>2147483647</v>
      </c>
      <c r="F38" s="4">
        <v>0</v>
      </c>
      <c r="G38" s="4">
        <v>1</v>
      </c>
      <c r="H38" s="4">
        <v>0</v>
      </c>
    </row>
    <row r="39" spans="1:8" x14ac:dyDescent="0.25">
      <c r="A39" s="3">
        <f t="shared" si="1"/>
        <v>1037</v>
      </c>
      <c r="B39" s="18" t="s">
        <v>221</v>
      </c>
      <c r="C39" s="18" t="s">
        <v>217</v>
      </c>
      <c r="D39" s="4">
        <v>0</v>
      </c>
      <c r="E39" s="4">
        <v>2147483647</v>
      </c>
      <c r="F39" s="4">
        <v>0</v>
      </c>
      <c r="G39" s="4">
        <v>1</v>
      </c>
      <c r="H39" s="4">
        <v>0</v>
      </c>
    </row>
    <row r="40" spans="1:8" x14ac:dyDescent="0.25">
      <c r="A40" s="3">
        <f t="shared" si="1"/>
        <v>1038</v>
      </c>
      <c r="B40" s="18" t="s">
        <v>222</v>
      </c>
      <c r="C40" s="18" t="s">
        <v>218</v>
      </c>
      <c r="D40" s="4">
        <v>0</v>
      </c>
      <c r="E40" s="4">
        <v>2147483647</v>
      </c>
      <c r="F40" s="4">
        <v>0</v>
      </c>
      <c r="G40" s="4">
        <v>1</v>
      </c>
      <c r="H40" s="4">
        <v>0</v>
      </c>
    </row>
    <row r="41" spans="1:8" x14ac:dyDescent="0.25">
      <c r="A41" s="3">
        <f t="shared" si="1"/>
        <v>1039</v>
      </c>
      <c r="B41" s="18" t="s">
        <v>223</v>
      </c>
      <c r="C41" s="18" t="s">
        <v>227</v>
      </c>
      <c r="D41" s="4">
        <v>0</v>
      </c>
      <c r="E41" s="4">
        <v>2147483647</v>
      </c>
      <c r="F41" s="4">
        <v>0</v>
      </c>
      <c r="G41" s="4">
        <v>1</v>
      </c>
      <c r="H41" s="4">
        <v>0</v>
      </c>
    </row>
    <row r="42" spans="1:8" x14ac:dyDescent="0.25">
      <c r="A42" s="3">
        <f t="shared" si="1"/>
        <v>1040</v>
      </c>
      <c r="B42" s="18" t="s">
        <v>224</v>
      </c>
      <c r="C42" s="18" t="s">
        <v>228</v>
      </c>
      <c r="D42" s="4">
        <v>0</v>
      </c>
      <c r="E42" s="4">
        <v>2147483647</v>
      </c>
      <c r="F42" s="4">
        <v>0</v>
      </c>
      <c r="G42" s="4">
        <v>1</v>
      </c>
      <c r="H42" s="4">
        <v>0</v>
      </c>
    </row>
    <row r="43" spans="1:8" x14ac:dyDescent="0.25">
      <c r="A43" s="3">
        <f t="shared" si="1"/>
        <v>1041</v>
      </c>
      <c r="B43" s="18" t="s">
        <v>225</v>
      </c>
      <c r="C43" s="18" t="s">
        <v>219</v>
      </c>
      <c r="D43" s="4">
        <v>0</v>
      </c>
      <c r="E43" s="4">
        <v>2147483647</v>
      </c>
      <c r="F43" s="4">
        <v>0</v>
      </c>
      <c r="G43" s="4">
        <v>1</v>
      </c>
      <c r="H43" s="4">
        <v>0</v>
      </c>
    </row>
    <row r="44" spans="1:8" x14ac:dyDescent="0.25">
      <c r="A44" s="3">
        <f t="shared" si="1"/>
        <v>1042</v>
      </c>
      <c r="B44" s="18" t="s">
        <v>226</v>
      </c>
      <c r="C44" s="18" t="s">
        <v>220</v>
      </c>
      <c r="D44" s="4">
        <v>0</v>
      </c>
      <c r="E44" s="4">
        <v>2147483647</v>
      </c>
      <c r="F44" s="4">
        <v>0</v>
      </c>
      <c r="G44" s="4">
        <v>1</v>
      </c>
      <c r="H44" s="4">
        <v>0</v>
      </c>
    </row>
    <row r="45" spans="1:8" x14ac:dyDescent="0.25">
      <c r="A45" s="3">
        <f t="shared" si="1"/>
        <v>1043</v>
      </c>
      <c r="B45" s="14" t="s">
        <v>261</v>
      </c>
      <c r="C45" s="18" t="s">
        <v>262</v>
      </c>
      <c r="D45" s="4">
        <v>0</v>
      </c>
      <c r="E45" s="4">
        <v>2147483647</v>
      </c>
      <c r="F45" s="4">
        <v>0</v>
      </c>
      <c r="G45" s="4">
        <v>1</v>
      </c>
      <c r="H45" s="4">
        <v>0</v>
      </c>
    </row>
    <row r="46" spans="1:8" x14ac:dyDescent="0.25">
      <c r="A46" s="3">
        <f t="shared" si="1"/>
        <v>1044</v>
      </c>
      <c r="B46" s="14" t="s">
        <v>112</v>
      </c>
      <c r="C46" s="4" t="s">
        <v>113</v>
      </c>
      <c r="D46" s="4">
        <v>0</v>
      </c>
      <c r="E46" s="4">
        <v>2147483647</v>
      </c>
      <c r="F46" s="4">
        <v>0</v>
      </c>
      <c r="G46" s="4">
        <v>1</v>
      </c>
      <c r="H46" s="4">
        <v>0</v>
      </c>
    </row>
    <row r="47" spans="1:8" x14ac:dyDescent="0.25">
      <c r="A47" s="3">
        <f t="shared" si="1"/>
        <v>1045</v>
      </c>
      <c r="B47" s="14" t="s">
        <v>114</v>
      </c>
      <c r="C47" s="4" t="s">
        <v>115</v>
      </c>
      <c r="D47" s="4">
        <v>0</v>
      </c>
      <c r="E47" s="4">
        <v>2147483647</v>
      </c>
      <c r="F47" s="4">
        <v>0</v>
      </c>
      <c r="G47" s="4">
        <v>1</v>
      </c>
      <c r="H47" s="4">
        <v>0</v>
      </c>
    </row>
    <row r="48" spans="1:8" x14ac:dyDescent="0.25">
      <c r="A48" s="3">
        <f t="shared" si="1"/>
        <v>1046</v>
      </c>
      <c r="B48" s="14" t="s">
        <v>116</v>
      </c>
      <c r="C48" s="4" t="s">
        <v>117</v>
      </c>
      <c r="D48" s="4">
        <v>0</v>
      </c>
      <c r="E48" s="4">
        <v>2147483647</v>
      </c>
      <c r="F48" s="4">
        <v>0</v>
      </c>
      <c r="G48" s="4">
        <v>1</v>
      </c>
      <c r="H48" s="4">
        <v>0</v>
      </c>
    </row>
    <row r="49" spans="1:8" x14ac:dyDescent="0.25">
      <c r="A49" s="3">
        <f t="shared" si="1"/>
        <v>1047</v>
      </c>
      <c r="B49" s="14" t="s">
        <v>263</v>
      </c>
      <c r="C49" s="14" t="s">
        <v>264</v>
      </c>
      <c r="D49" s="4">
        <v>0</v>
      </c>
      <c r="E49" s="4">
        <v>2147483647</v>
      </c>
      <c r="F49" s="4">
        <v>0</v>
      </c>
      <c r="G49" s="4">
        <v>1</v>
      </c>
      <c r="H49" s="4">
        <v>0</v>
      </c>
    </row>
    <row r="50" spans="1:8" x14ac:dyDescent="0.25">
      <c r="A50" s="3">
        <f t="shared" si="1"/>
        <v>1048</v>
      </c>
      <c r="B50" s="14" t="s">
        <v>118</v>
      </c>
      <c r="C50" s="4" t="s">
        <v>119</v>
      </c>
      <c r="D50" s="4">
        <v>0</v>
      </c>
      <c r="E50" s="4">
        <v>2147483647</v>
      </c>
      <c r="F50" s="4">
        <v>0</v>
      </c>
      <c r="G50" s="4">
        <v>1</v>
      </c>
      <c r="H50" s="4">
        <v>0</v>
      </c>
    </row>
    <row r="51" spans="1:8" x14ac:dyDescent="0.25">
      <c r="A51" s="3">
        <f t="shared" si="1"/>
        <v>1049</v>
      </c>
      <c r="B51" s="14" t="s">
        <v>265</v>
      </c>
      <c r="C51" s="14" t="s">
        <v>266</v>
      </c>
      <c r="D51" s="4">
        <v>0</v>
      </c>
      <c r="E51" s="4">
        <v>2147483647</v>
      </c>
      <c r="F51" s="4">
        <v>0</v>
      </c>
      <c r="G51" s="4">
        <v>1</v>
      </c>
      <c r="H51" s="4">
        <v>0</v>
      </c>
    </row>
    <row r="52" spans="1:8" x14ac:dyDescent="0.25">
      <c r="A52" s="3">
        <f t="shared" si="1"/>
        <v>1050</v>
      </c>
      <c r="B52" s="14" t="s">
        <v>120</v>
      </c>
      <c r="C52" s="4" t="s">
        <v>121</v>
      </c>
      <c r="D52" s="4">
        <v>0</v>
      </c>
      <c r="E52" s="4">
        <v>2147483647</v>
      </c>
      <c r="F52" s="4">
        <v>0</v>
      </c>
      <c r="G52" s="4">
        <v>1</v>
      </c>
      <c r="H52" s="4">
        <v>0</v>
      </c>
    </row>
    <row r="53" spans="1:8" x14ac:dyDescent="0.25">
      <c r="A53" s="3">
        <f t="shared" si="1"/>
        <v>1051</v>
      </c>
      <c r="B53" s="14" t="s">
        <v>122</v>
      </c>
      <c r="C53" s="4" t="s">
        <v>123</v>
      </c>
      <c r="D53" s="4">
        <v>0</v>
      </c>
      <c r="E53" s="4">
        <v>2147483647</v>
      </c>
      <c r="F53" s="4">
        <v>0</v>
      </c>
      <c r="G53" s="4">
        <v>1</v>
      </c>
      <c r="H53" s="4">
        <v>0</v>
      </c>
    </row>
    <row r="54" spans="1:8" x14ac:dyDescent="0.25">
      <c r="A54" s="3">
        <f t="shared" si="1"/>
        <v>1052</v>
      </c>
      <c r="B54" s="14" t="s">
        <v>248</v>
      </c>
      <c r="C54" s="4" t="s">
        <v>124</v>
      </c>
      <c r="D54" s="4">
        <v>0</v>
      </c>
      <c r="E54" s="4">
        <v>2147483647</v>
      </c>
      <c r="F54" s="4">
        <v>0</v>
      </c>
      <c r="G54" s="4">
        <v>1</v>
      </c>
      <c r="H54" s="4">
        <v>0</v>
      </c>
    </row>
    <row r="55" spans="1:8" x14ac:dyDescent="0.25">
      <c r="A55" s="3">
        <f t="shared" si="1"/>
        <v>1053</v>
      </c>
      <c r="B55" s="14" t="s">
        <v>249</v>
      </c>
      <c r="C55" s="4" t="s">
        <v>127</v>
      </c>
      <c r="D55" s="4">
        <v>0</v>
      </c>
      <c r="E55" s="4">
        <v>2147483647</v>
      </c>
      <c r="F55" s="4">
        <v>0</v>
      </c>
      <c r="G55" s="4">
        <v>1</v>
      </c>
      <c r="H55" s="4">
        <v>0</v>
      </c>
    </row>
    <row r="56" spans="1:8" x14ac:dyDescent="0.25">
      <c r="A56" s="3">
        <f t="shared" si="1"/>
        <v>1054</v>
      </c>
      <c r="B56" s="14" t="s">
        <v>250</v>
      </c>
      <c r="C56" s="14" t="s">
        <v>238</v>
      </c>
      <c r="D56" s="4">
        <v>0</v>
      </c>
      <c r="E56" s="4">
        <v>2147483647</v>
      </c>
      <c r="F56" s="4">
        <v>0</v>
      </c>
      <c r="G56" s="4">
        <v>1</v>
      </c>
      <c r="H56" s="4">
        <v>0</v>
      </c>
    </row>
    <row r="57" spans="1:8" x14ac:dyDescent="0.25">
      <c r="A57" s="3">
        <f t="shared" si="1"/>
        <v>1055</v>
      </c>
      <c r="B57" s="14" t="s">
        <v>251</v>
      </c>
      <c r="C57" s="14" t="s">
        <v>239</v>
      </c>
      <c r="D57" s="4">
        <v>0</v>
      </c>
      <c r="E57" s="4">
        <v>2147483647</v>
      </c>
      <c r="F57" s="4">
        <v>0</v>
      </c>
      <c r="G57" s="4">
        <v>1</v>
      </c>
      <c r="H57" s="4">
        <v>0</v>
      </c>
    </row>
    <row r="58" spans="1:8" x14ac:dyDescent="0.25">
      <c r="A58" s="3">
        <f t="shared" si="1"/>
        <v>1056</v>
      </c>
      <c r="B58" s="14" t="s">
        <v>252</v>
      </c>
      <c r="C58" s="14" t="s">
        <v>240</v>
      </c>
      <c r="D58" s="4">
        <v>0</v>
      </c>
      <c r="E58" s="4">
        <v>2147483647</v>
      </c>
      <c r="F58" s="4">
        <v>0</v>
      </c>
      <c r="G58" s="4">
        <v>1</v>
      </c>
      <c r="H58" s="4">
        <v>0</v>
      </c>
    </row>
    <row r="59" spans="1:8" x14ac:dyDescent="0.25">
      <c r="A59" s="3">
        <f t="shared" si="1"/>
        <v>1057</v>
      </c>
      <c r="B59" s="14" t="s">
        <v>125</v>
      </c>
      <c r="C59" s="4" t="s">
        <v>126</v>
      </c>
      <c r="D59" s="4">
        <v>0</v>
      </c>
      <c r="E59" s="4">
        <v>2147483647</v>
      </c>
      <c r="F59" s="4">
        <v>0</v>
      </c>
      <c r="G59" s="4">
        <v>1</v>
      </c>
      <c r="H59" s="4">
        <v>0</v>
      </c>
    </row>
    <row r="60" spans="1:8" x14ac:dyDescent="0.25">
      <c r="A60" s="3">
        <f t="shared" si="1"/>
        <v>1058</v>
      </c>
      <c r="B60" s="14" t="s">
        <v>253</v>
      </c>
      <c r="C60" s="4" t="s">
        <v>126</v>
      </c>
      <c r="D60" s="4">
        <v>0</v>
      </c>
      <c r="E60" s="4">
        <v>2147483647</v>
      </c>
      <c r="F60" s="4">
        <v>0</v>
      </c>
      <c r="G60" s="4">
        <v>1</v>
      </c>
      <c r="H60" s="4">
        <v>0</v>
      </c>
    </row>
    <row r="61" spans="1:8" x14ac:dyDescent="0.25">
      <c r="A61" s="3">
        <f t="shared" si="1"/>
        <v>1059</v>
      </c>
      <c r="B61" s="14" t="s">
        <v>254</v>
      </c>
      <c r="C61" s="4" t="s">
        <v>126</v>
      </c>
      <c r="D61" s="4">
        <v>0</v>
      </c>
      <c r="E61" s="4">
        <v>2147483647</v>
      </c>
      <c r="F61" s="4">
        <v>0</v>
      </c>
      <c r="G61" s="4">
        <v>1</v>
      </c>
      <c r="H61" s="4">
        <v>0</v>
      </c>
    </row>
    <row r="62" spans="1:8" x14ac:dyDescent="0.25">
      <c r="A62" s="3">
        <f t="shared" si="1"/>
        <v>1060</v>
      </c>
      <c r="B62" s="14" t="s">
        <v>255</v>
      </c>
      <c r="C62" s="14" t="s">
        <v>241</v>
      </c>
      <c r="D62" s="4">
        <v>0</v>
      </c>
      <c r="E62" s="4">
        <v>2147483647</v>
      </c>
      <c r="F62" s="4">
        <v>0</v>
      </c>
      <c r="G62" s="4">
        <v>1</v>
      </c>
      <c r="H62" s="4">
        <v>0</v>
      </c>
    </row>
    <row r="63" spans="1:8" x14ac:dyDescent="0.25">
      <c r="A63" s="3">
        <f t="shared" si="1"/>
        <v>1061</v>
      </c>
      <c r="B63" s="14" t="s">
        <v>256</v>
      </c>
      <c r="C63" s="14" t="s">
        <v>242</v>
      </c>
      <c r="D63" s="4">
        <v>0</v>
      </c>
      <c r="E63" s="4">
        <v>2147483647</v>
      </c>
      <c r="F63" s="4">
        <v>0</v>
      </c>
      <c r="G63" s="4">
        <v>1</v>
      </c>
      <c r="H63" s="4">
        <v>0</v>
      </c>
    </row>
    <row r="64" spans="1:8" x14ac:dyDescent="0.25">
      <c r="A64" s="3">
        <f t="shared" si="1"/>
        <v>1062</v>
      </c>
      <c r="B64" s="14" t="s">
        <v>257</v>
      </c>
      <c r="C64" s="14" t="s">
        <v>243</v>
      </c>
      <c r="D64" s="4">
        <v>0</v>
      </c>
      <c r="E64" s="4">
        <v>2147483647</v>
      </c>
      <c r="F64" s="4">
        <v>0</v>
      </c>
      <c r="G64" s="4">
        <v>1</v>
      </c>
      <c r="H64" s="4">
        <v>0</v>
      </c>
    </row>
    <row r="65" spans="1:8" x14ac:dyDescent="0.25">
      <c r="A65" s="3">
        <f t="shared" si="1"/>
        <v>1063</v>
      </c>
      <c r="B65" s="18" t="s">
        <v>333</v>
      </c>
      <c r="C65" s="14" t="s">
        <v>307</v>
      </c>
      <c r="D65" s="4">
        <v>0</v>
      </c>
      <c r="E65" s="4">
        <v>2147483647</v>
      </c>
      <c r="F65" s="4">
        <v>0</v>
      </c>
      <c r="G65" s="4">
        <v>1</v>
      </c>
      <c r="H65" s="4">
        <v>0</v>
      </c>
    </row>
    <row r="66" spans="1:8" x14ac:dyDescent="0.25">
      <c r="A66" s="3">
        <f t="shared" si="1"/>
        <v>1064</v>
      </c>
      <c r="B66" s="18" t="s">
        <v>334</v>
      </c>
      <c r="C66" s="14" t="s">
        <v>308</v>
      </c>
      <c r="D66" s="4">
        <v>0</v>
      </c>
      <c r="E66" s="4">
        <v>2147483647</v>
      </c>
      <c r="F66" s="4">
        <v>0</v>
      </c>
      <c r="G66" s="4">
        <v>1</v>
      </c>
      <c r="H66" s="4">
        <v>0</v>
      </c>
    </row>
    <row r="67" spans="1:8" x14ac:dyDescent="0.25">
      <c r="A67" s="3">
        <f t="shared" si="1"/>
        <v>1065</v>
      </c>
      <c r="B67" s="18" t="s">
        <v>335</v>
      </c>
      <c r="C67" s="14" t="s">
        <v>309</v>
      </c>
      <c r="D67" s="4">
        <v>0</v>
      </c>
      <c r="E67" s="4">
        <v>2147483647</v>
      </c>
      <c r="F67" s="4">
        <v>0</v>
      </c>
      <c r="G67" s="4">
        <v>1</v>
      </c>
      <c r="H67" s="4">
        <v>0</v>
      </c>
    </row>
    <row r="68" spans="1:8" x14ac:dyDescent="0.25">
      <c r="A68" s="3">
        <f t="shared" si="1"/>
        <v>1066</v>
      </c>
      <c r="B68" s="18" t="s">
        <v>336</v>
      </c>
      <c r="C68" s="14" t="s">
        <v>310</v>
      </c>
      <c r="D68" s="4">
        <v>0</v>
      </c>
      <c r="E68" s="4">
        <v>2147483647</v>
      </c>
      <c r="F68" s="4">
        <v>0</v>
      </c>
      <c r="G68" s="4">
        <v>1</v>
      </c>
      <c r="H68" s="4">
        <v>0</v>
      </c>
    </row>
    <row r="69" spans="1:8" x14ac:dyDescent="0.25">
      <c r="A69" s="3">
        <f t="shared" si="1"/>
        <v>1067</v>
      </c>
      <c r="B69" s="18" t="s">
        <v>337</v>
      </c>
      <c r="C69" s="14" t="s">
        <v>311</v>
      </c>
      <c r="D69" s="4">
        <v>0</v>
      </c>
      <c r="E69" s="4">
        <v>2147483647</v>
      </c>
      <c r="F69" s="4">
        <v>0</v>
      </c>
      <c r="G69" s="4">
        <v>1</v>
      </c>
      <c r="H69" s="4">
        <v>0</v>
      </c>
    </row>
    <row r="70" spans="1:8" x14ac:dyDescent="0.25">
      <c r="A70" s="3">
        <f t="shared" si="1"/>
        <v>1068</v>
      </c>
      <c r="B70" s="18" t="s">
        <v>338</v>
      </c>
      <c r="C70" s="14" t="s">
        <v>312</v>
      </c>
      <c r="D70" s="4">
        <v>0</v>
      </c>
      <c r="E70" s="4">
        <v>2147483647</v>
      </c>
      <c r="F70" s="4">
        <v>0</v>
      </c>
      <c r="G70" s="4">
        <v>1</v>
      </c>
      <c r="H70" s="4">
        <v>0</v>
      </c>
    </row>
    <row r="71" spans="1:8" x14ac:dyDescent="0.25">
      <c r="A71" s="3">
        <f t="shared" si="1"/>
        <v>1069</v>
      </c>
      <c r="B71" s="14" t="s">
        <v>137</v>
      </c>
      <c r="C71" s="4" t="s">
        <v>136</v>
      </c>
      <c r="D71" s="4">
        <v>0</v>
      </c>
      <c r="E71" s="4">
        <v>2147483647</v>
      </c>
      <c r="F71" s="4">
        <v>0</v>
      </c>
      <c r="G71" s="4">
        <v>1</v>
      </c>
      <c r="H71" s="4">
        <v>0</v>
      </c>
    </row>
    <row r="72" spans="1:8" x14ac:dyDescent="0.25">
      <c r="A72" s="3">
        <f t="shared" si="1"/>
        <v>1070</v>
      </c>
      <c r="B72" s="14" t="s">
        <v>138</v>
      </c>
      <c r="C72" s="4" t="s">
        <v>128</v>
      </c>
      <c r="D72" s="4">
        <v>0</v>
      </c>
      <c r="E72" s="4">
        <v>2147483647</v>
      </c>
      <c r="F72" s="4">
        <v>0</v>
      </c>
      <c r="G72" s="4">
        <v>1</v>
      </c>
      <c r="H72" s="4">
        <v>0</v>
      </c>
    </row>
    <row r="73" spans="1:8" x14ac:dyDescent="0.25">
      <c r="A73" s="3">
        <f t="shared" si="1"/>
        <v>1071</v>
      </c>
      <c r="B73" s="14" t="s">
        <v>139</v>
      </c>
      <c r="C73" s="4" t="s">
        <v>129</v>
      </c>
      <c r="D73" s="4">
        <v>0</v>
      </c>
      <c r="E73" s="4">
        <v>2147483647</v>
      </c>
      <c r="F73" s="4">
        <v>0</v>
      </c>
      <c r="G73" s="4">
        <v>1</v>
      </c>
      <c r="H73" s="4">
        <v>0</v>
      </c>
    </row>
    <row r="74" spans="1:8" x14ac:dyDescent="0.25">
      <c r="A74" s="3">
        <f t="shared" si="1"/>
        <v>1072</v>
      </c>
      <c r="B74" s="14" t="s">
        <v>140</v>
      </c>
      <c r="C74" s="4" t="s">
        <v>130</v>
      </c>
      <c r="D74" s="4">
        <v>0</v>
      </c>
      <c r="E74" s="4">
        <v>2147483647</v>
      </c>
      <c r="F74" s="4">
        <v>0</v>
      </c>
      <c r="G74" s="4">
        <v>1</v>
      </c>
      <c r="H74" s="4">
        <v>0</v>
      </c>
    </row>
    <row r="75" spans="1:8" x14ac:dyDescent="0.25">
      <c r="A75" s="3">
        <f t="shared" si="1"/>
        <v>1073</v>
      </c>
      <c r="B75" s="14" t="s">
        <v>141</v>
      </c>
      <c r="C75" s="14" t="s">
        <v>131</v>
      </c>
      <c r="D75" s="4">
        <v>0</v>
      </c>
      <c r="E75" s="4">
        <v>2147483647</v>
      </c>
      <c r="F75" s="4">
        <v>0</v>
      </c>
      <c r="G75" s="4">
        <v>1</v>
      </c>
      <c r="H75" s="4">
        <v>0</v>
      </c>
    </row>
    <row r="76" spans="1:8" x14ac:dyDescent="0.25">
      <c r="A76" s="3">
        <f t="shared" si="1"/>
        <v>1074</v>
      </c>
      <c r="B76" s="14" t="s">
        <v>142</v>
      </c>
      <c r="C76" s="4" t="s">
        <v>132</v>
      </c>
      <c r="D76" s="4">
        <v>0</v>
      </c>
      <c r="E76" s="4">
        <v>2147483647</v>
      </c>
      <c r="F76" s="4">
        <v>0</v>
      </c>
      <c r="G76" s="4">
        <v>1</v>
      </c>
      <c r="H76" s="4">
        <v>0</v>
      </c>
    </row>
    <row r="77" spans="1:8" x14ac:dyDescent="0.25">
      <c r="A77" s="3">
        <f t="shared" si="1"/>
        <v>1075</v>
      </c>
      <c r="B77" s="14" t="s">
        <v>143</v>
      </c>
      <c r="C77" s="4" t="s">
        <v>133</v>
      </c>
      <c r="D77" s="4">
        <v>0</v>
      </c>
      <c r="E77" s="4">
        <v>2147483647</v>
      </c>
      <c r="F77" s="4">
        <v>0</v>
      </c>
      <c r="G77" s="4">
        <v>1</v>
      </c>
      <c r="H77" s="4">
        <v>0</v>
      </c>
    </row>
    <row r="78" spans="1:8" x14ac:dyDescent="0.25">
      <c r="A78" s="3">
        <f t="shared" si="1"/>
        <v>1076</v>
      </c>
      <c r="B78" s="14" t="s">
        <v>144</v>
      </c>
      <c r="C78" s="4" t="s">
        <v>134</v>
      </c>
      <c r="D78" s="4">
        <v>0</v>
      </c>
      <c r="E78" s="4">
        <v>2147483647</v>
      </c>
      <c r="F78" s="4">
        <v>0</v>
      </c>
      <c r="G78" s="4">
        <v>1</v>
      </c>
      <c r="H78" s="4">
        <v>0</v>
      </c>
    </row>
    <row r="79" spans="1:8" x14ac:dyDescent="0.25">
      <c r="A79" s="3">
        <f t="shared" si="1"/>
        <v>1077</v>
      </c>
      <c r="B79" s="14" t="s">
        <v>145</v>
      </c>
      <c r="C79" s="4" t="s">
        <v>135</v>
      </c>
      <c r="D79" s="4">
        <v>0</v>
      </c>
      <c r="E79" s="4">
        <v>2147483647</v>
      </c>
      <c r="F79" s="4">
        <v>0</v>
      </c>
      <c r="G79" s="4">
        <v>1</v>
      </c>
      <c r="H79" s="4">
        <v>0</v>
      </c>
    </row>
    <row r="80" spans="1:8" x14ac:dyDescent="0.25">
      <c r="A80" s="3">
        <f t="shared" si="1"/>
        <v>1078</v>
      </c>
      <c r="B80" s="14" t="s">
        <v>313</v>
      </c>
      <c r="C80" s="18" t="s">
        <v>316</v>
      </c>
      <c r="D80" s="4">
        <v>0</v>
      </c>
      <c r="E80" s="4">
        <v>2147483647</v>
      </c>
      <c r="F80" s="4">
        <v>0</v>
      </c>
      <c r="G80" s="4">
        <v>1</v>
      </c>
      <c r="H80" s="4">
        <v>0</v>
      </c>
    </row>
    <row r="81" spans="1:8" x14ac:dyDescent="0.25">
      <c r="A81" s="3">
        <f t="shared" si="1"/>
        <v>1079</v>
      </c>
      <c r="B81" s="14" t="s">
        <v>314</v>
      </c>
      <c r="C81" s="18" t="s">
        <v>317</v>
      </c>
      <c r="D81" s="4">
        <v>0</v>
      </c>
      <c r="E81" s="4">
        <v>2147483647</v>
      </c>
      <c r="F81" s="4">
        <v>0</v>
      </c>
      <c r="G81" s="4">
        <v>1</v>
      </c>
      <c r="H81" s="4">
        <v>0</v>
      </c>
    </row>
    <row r="82" spans="1:8" x14ac:dyDescent="0.25">
      <c r="A82" s="3">
        <f t="shared" si="1"/>
        <v>1080</v>
      </c>
      <c r="B82" s="14" t="s">
        <v>315</v>
      </c>
      <c r="C82" s="18" t="s">
        <v>318</v>
      </c>
      <c r="D82" s="4">
        <v>0</v>
      </c>
      <c r="E82" s="4">
        <v>2147483647</v>
      </c>
      <c r="F82" s="4">
        <v>0</v>
      </c>
      <c r="G82" s="4">
        <v>1</v>
      </c>
      <c r="H82" s="4">
        <v>0</v>
      </c>
    </row>
    <row r="83" spans="1:8" x14ac:dyDescent="0.25">
      <c r="A83" s="3">
        <f t="shared" si="1"/>
        <v>1081</v>
      </c>
      <c r="B83" s="14" t="s">
        <v>146</v>
      </c>
      <c r="C83" s="14" t="s">
        <v>176</v>
      </c>
      <c r="D83" s="4">
        <v>0</v>
      </c>
      <c r="E83" s="4">
        <v>2147483647</v>
      </c>
      <c r="F83" s="4">
        <v>0</v>
      </c>
      <c r="G83" s="4">
        <v>1</v>
      </c>
      <c r="H83" s="4">
        <v>0</v>
      </c>
    </row>
    <row r="84" spans="1:8" x14ac:dyDescent="0.25">
      <c r="A84" s="3">
        <f t="shared" si="1"/>
        <v>1082</v>
      </c>
      <c r="B84" s="14" t="s">
        <v>147</v>
      </c>
      <c r="C84" s="14" t="s">
        <v>177</v>
      </c>
      <c r="D84" s="4">
        <v>0</v>
      </c>
      <c r="E84" s="4">
        <v>2147483647</v>
      </c>
      <c r="F84" s="4">
        <v>0</v>
      </c>
      <c r="G84" s="4">
        <v>1</v>
      </c>
      <c r="H84" s="4">
        <v>0</v>
      </c>
    </row>
    <row r="85" spans="1:8" x14ac:dyDescent="0.25">
      <c r="A85" s="3">
        <f t="shared" si="1"/>
        <v>1083</v>
      </c>
      <c r="B85" s="14" t="s">
        <v>148</v>
      </c>
      <c r="C85" s="4" t="s">
        <v>129</v>
      </c>
      <c r="D85" s="4">
        <v>0</v>
      </c>
      <c r="E85" s="4">
        <v>2147483647</v>
      </c>
      <c r="F85" s="4">
        <v>0</v>
      </c>
      <c r="G85" s="4">
        <v>1</v>
      </c>
      <c r="H85" s="4">
        <v>0</v>
      </c>
    </row>
    <row r="86" spans="1:8" x14ac:dyDescent="0.25">
      <c r="A86" s="3">
        <f t="shared" si="1"/>
        <v>1084</v>
      </c>
      <c r="B86" s="14" t="s">
        <v>149</v>
      </c>
      <c r="C86" s="4" t="s">
        <v>130</v>
      </c>
      <c r="D86" s="4">
        <v>0</v>
      </c>
      <c r="E86" s="4">
        <v>2147483647</v>
      </c>
      <c r="F86" s="4">
        <v>0</v>
      </c>
      <c r="G86" s="4">
        <v>1</v>
      </c>
      <c r="H86" s="4">
        <v>0</v>
      </c>
    </row>
    <row r="87" spans="1:8" x14ac:dyDescent="0.25">
      <c r="A87" s="3">
        <f t="shared" si="1"/>
        <v>1085</v>
      </c>
      <c r="B87" s="14" t="s">
        <v>150</v>
      </c>
      <c r="C87" s="4" t="s">
        <v>131</v>
      </c>
      <c r="D87" s="4">
        <v>0</v>
      </c>
      <c r="E87" s="4">
        <v>2147483647</v>
      </c>
      <c r="F87" s="4">
        <v>0</v>
      </c>
      <c r="G87" s="4">
        <v>1</v>
      </c>
      <c r="H87" s="4">
        <v>0</v>
      </c>
    </row>
    <row r="88" spans="1:8" x14ac:dyDescent="0.25">
      <c r="A88" s="3">
        <f t="shared" si="1"/>
        <v>1086</v>
      </c>
      <c r="B88" s="14" t="s">
        <v>151</v>
      </c>
      <c r="C88" s="4" t="s">
        <v>132</v>
      </c>
      <c r="D88" s="4">
        <v>0</v>
      </c>
      <c r="E88" s="4">
        <v>2147483647</v>
      </c>
      <c r="F88" s="4">
        <v>0</v>
      </c>
      <c r="G88" s="4">
        <v>1</v>
      </c>
      <c r="H88" s="4">
        <v>0</v>
      </c>
    </row>
    <row r="89" spans="1:8" x14ac:dyDescent="0.25">
      <c r="A89" s="3">
        <f t="shared" ref="A89:A106" si="2">ROW()-2+1000</f>
        <v>1087</v>
      </c>
      <c r="B89" s="14" t="s">
        <v>152</v>
      </c>
      <c r="C89" s="4" t="s">
        <v>133</v>
      </c>
      <c r="D89" s="4">
        <v>0</v>
      </c>
      <c r="E89" s="4">
        <v>2147483647</v>
      </c>
      <c r="F89" s="4">
        <v>0</v>
      </c>
      <c r="G89" s="4">
        <v>1</v>
      </c>
      <c r="H89" s="4">
        <v>0</v>
      </c>
    </row>
    <row r="90" spans="1:8" x14ac:dyDescent="0.25">
      <c r="A90" s="3">
        <f t="shared" si="2"/>
        <v>1088</v>
      </c>
      <c r="B90" s="14" t="s">
        <v>153</v>
      </c>
      <c r="C90" s="14" t="s">
        <v>134</v>
      </c>
      <c r="D90" s="4">
        <v>0</v>
      </c>
      <c r="E90" s="4">
        <v>2147483647</v>
      </c>
      <c r="F90" s="4">
        <v>0</v>
      </c>
      <c r="G90" s="4">
        <v>1</v>
      </c>
      <c r="H90" s="4">
        <v>0</v>
      </c>
    </row>
    <row r="91" spans="1:8" x14ac:dyDescent="0.25">
      <c r="A91" s="14">
        <f t="shared" si="2"/>
        <v>1089</v>
      </c>
      <c r="B91" s="14" t="s">
        <v>154</v>
      </c>
      <c r="C91" s="4" t="s">
        <v>135</v>
      </c>
      <c r="D91" s="4">
        <v>0</v>
      </c>
      <c r="E91" s="4">
        <v>2147483647</v>
      </c>
      <c r="F91" s="4">
        <v>0</v>
      </c>
      <c r="G91" s="4">
        <v>1</v>
      </c>
      <c r="H91" s="4">
        <v>0</v>
      </c>
    </row>
    <row r="92" spans="1:8" x14ac:dyDescent="0.25">
      <c r="A92" s="14">
        <f t="shared" si="2"/>
        <v>1090</v>
      </c>
      <c r="B92" s="14" t="s">
        <v>319</v>
      </c>
      <c r="C92" s="18" t="s">
        <v>322</v>
      </c>
      <c r="D92" s="4">
        <v>0</v>
      </c>
      <c r="E92" s="4">
        <v>2147483647</v>
      </c>
      <c r="F92" s="4">
        <v>0</v>
      </c>
      <c r="G92" s="4">
        <v>1</v>
      </c>
      <c r="H92" s="4">
        <v>0</v>
      </c>
    </row>
    <row r="93" spans="1:8" x14ac:dyDescent="0.25">
      <c r="A93" s="14">
        <f t="shared" si="2"/>
        <v>1091</v>
      </c>
      <c r="B93" s="14" t="s">
        <v>320</v>
      </c>
      <c r="C93" s="18" t="s">
        <v>323</v>
      </c>
      <c r="D93" s="4">
        <v>0</v>
      </c>
      <c r="E93" s="4">
        <v>2147483647</v>
      </c>
      <c r="F93" s="4">
        <v>0</v>
      </c>
      <c r="G93" s="4">
        <v>1</v>
      </c>
      <c r="H93" s="4">
        <v>0</v>
      </c>
    </row>
    <row r="94" spans="1:8" x14ac:dyDescent="0.25">
      <c r="A94" s="14">
        <f t="shared" si="2"/>
        <v>1092</v>
      </c>
      <c r="B94" s="14" t="s">
        <v>321</v>
      </c>
      <c r="C94" s="18" t="s">
        <v>324</v>
      </c>
      <c r="D94" s="4">
        <v>0</v>
      </c>
      <c r="E94" s="4">
        <v>2147483647</v>
      </c>
      <c r="F94" s="4">
        <v>0</v>
      </c>
      <c r="G94" s="4">
        <v>1</v>
      </c>
      <c r="H94" s="4">
        <v>0</v>
      </c>
    </row>
    <row r="95" spans="1:8" x14ac:dyDescent="0.25">
      <c r="A95" s="2">
        <f t="shared" si="2"/>
        <v>1093</v>
      </c>
      <c r="B95" s="11" t="s">
        <v>269</v>
      </c>
      <c r="C95" s="5" t="s">
        <v>268</v>
      </c>
      <c r="D95" s="2">
        <v>0</v>
      </c>
      <c r="E95" s="2">
        <v>0</v>
      </c>
      <c r="F95" s="2">
        <v>0</v>
      </c>
      <c r="G95" s="2">
        <v>1</v>
      </c>
      <c r="H95" s="2">
        <v>0</v>
      </c>
    </row>
    <row r="96" spans="1:8" x14ac:dyDescent="0.25">
      <c r="A96" s="14">
        <f t="shared" si="2"/>
        <v>1094</v>
      </c>
      <c r="B96" s="14" t="s">
        <v>276</v>
      </c>
      <c r="C96" s="14" t="s">
        <v>273</v>
      </c>
      <c r="D96" s="14">
        <v>0</v>
      </c>
      <c r="E96" s="14">
        <v>2147483647</v>
      </c>
      <c r="F96" s="14">
        <v>0</v>
      </c>
      <c r="G96" s="14">
        <v>1</v>
      </c>
      <c r="H96" s="14">
        <v>0</v>
      </c>
    </row>
    <row r="97" spans="1:8" x14ac:dyDescent="0.25">
      <c r="A97" s="14">
        <f t="shared" si="2"/>
        <v>1095</v>
      </c>
      <c r="B97" s="18" t="s">
        <v>280</v>
      </c>
      <c r="C97" s="18" t="s">
        <v>277</v>
      </c>
      <c r="D97" s="14">
        <v>0</v>
      </c>
      <c r="E97" s="14">
        <v>2147483647</v>
      </c>
      <c r="F97" s="14">
        <v>0</v>
      </c>
      <c r="G97" s="14">
        <v>1</v>
      </c>
      <c r="H97" s="14">
        <v>0</v>
      </c>
    </row>
    <row r="98" spans="1:8" x14ac:dyDescent="0.25">
      <c r="A98" s="14">
        <f t="shared" si="2"/>
        <v>1096</v>
      </c>
      <c r="B98" s="18" t="s">
        <v>281</v>
      </c>
      <c r="C98" s="18" t="s">
        <v>277</v>
      </c>
      <c r="D98" s="14">
        <v>0</v>
      </c>
      <c r="E98" s="14">
        <v>2147483647</v>
      </c>
      <c r="F98" s="14">
        <v>0</v>
      </c>
      <c r="G98" s="14">
        <v>1</v>
      </c>
      <c r="H98" s="14">
        <v>0</v>
      </c>
    </row>
    <row r="99" spans="1:8" x14ac:dyDescent="0.25">
      <c r="A99" s="14">
        <f t="shared" si="2"/>
        <v>1097</v>
      </c>
      <c r="B99" s="14" t="s">
        <v>272</v>
      </c>
      <c r="C99" s="14" t="s">
        <v>271</v>
      </c>
      <c r="D99" s="14">
        <v>0</v>
      </c>
      <c r="E99" s="14">
        <v>2147483647</v>
      </c>
      <c r="F99" s="14">
        <v>0</v>
      </c>
      <c r="G99" s="14">
        <v>1</v>
      </c>
      <c r="H99" s="14">
        <v>0</v>
      </c>
    </row>
    <row r="100" spans="1:8" x14ac:dyDescent="0.25">
      <c r="A100" s="14">
        <f t="shared" si="2"/>
        <v>1098</v>
      </c>
      <c r="B100" s="18" t="s">
        <v>274</v>
      </c>
      <c r="C100" s="18" t="s">
        <v>275</v>
      </c>
      <c r="D100" s="14">
        <v>0</v>
      </c>
      <c r="E100" s="14">
        <v>2147483647</v>
      </c>
      <c r="F100" s="14">
        <v>0</v>
      </c>
      <c r="G100" s="14">
        <v>1</v>
      </c>
      <c r="H100" s="14">
        <v>0</v>
      </c>
    </row>
    <row r="101" spans="1:8" x14ac:dyDescent="0.25">
      <c r="A101" s="14">
        <f t="shared" si="2"/>
        <v>1099</v>
      </c>
      <c r="B101" s="14" t="s">
        <v>278</v>
      </c>
      <c r="C101" s="14" t="s">
        <v>270</v>
      </c>
      <c r="D101" s="14">
        <v>0</v>
      </c>
      <c r="E101" s="14">
        <v>2147483647</v>
      </c>
      <c r="F101" s="14">
        <v>0</v>
      </c>
      <c r="G101" s="14">
        <v>1</v>
      </c>
      <c r="H101" s="14">
        <v>0</v>
      </c>
    </row>
    <row r="102" spans="1:8" x14ac:dyDescent="0.25">
      <c r="A102" s="14">
        <f t="shared" si="2"/>
        <v>1100</v>
      </c>
      <c r="B102" s="14" t="s">
        <v>282</v>
      </c>
      <c r="C102" s="14" t="s">
        <v>279</v>
      </c>
      <c r="D102" s="14">
        <v>0</v>
      </c>
      <c r="E102" s="14">
        <v>2147483647</v>
      </c>
      <c r="F102" s="14">
        <v>0</v>
      </c>
      <c r="G102" s="14">
        <v>1</v>
      </c>
      <c r="H102" s="14">
        <v>0</v>
      </c>
    </row>
    <row r="103" spans="1:8" x14ac:dyDescent="0.25">
      <c r="A103" s="14">
        <f t="shared" si="2"/>
        <v>1101</v>
      </c>
      <c r="B103" s="14" t="s">
        <v>283</v>
      </c>
      <c r="C103" s="14" t="s">
        <v>279</v>
      </c>
      <c r="D103" s="14">
        <v>0</v>
      </c>
      <c r="E103" s="14">
        <v>2147483647</v>
      </c>
      <c r="F103" s="14">
        <v>0</v>
      </c>
      <c r="G103" s="14">
        <v>1</v>
      </c>
      <c r="H103" s="14">
        <v>0</v>
      </c>
    </row>
    <row r="104" spans="1:8" x14ac:dyDescent="0.25">
      <c r="A104" s="14">
        <f t="shared" si="2"/>
        <v>1102</v>
      </c>
      <c r="B104" s="14" t="s">
        <v>298</v>
      </c>
      <c r="C104" s="14" t="s">
        <v>300</v>
      </c>
      <c r="D104" s="14">
        <v>0</v>
      </c>
      <c r="E104" s="14">
        <v>2147483647</v>
      </c>
      <c r="F104" s="14">
        <v>0</v>
      </c>
      <c r="G104" s="14">
        <v>1</v>
      </c>
      <c r="H104" s="14">
        <v>0</v>
      </c>
    </row>
    <row r="105" spans="1:8" x14ac:dyDescent="0.25">
      <c r="A105" s="14">
        <f t="shared" si="2"/>
        <v>1103</v>
      </c>
      <c r="B105" s="14" t="s">
        <v>299</v>
      </c>
      <c r="C105" s="14" t="s">
        <v>301</v>
      </c>
      <c r="D105" s="14">
        <v>0</v>
      </c>
      <c r="E105" s="14">
        <v>2147483647</v>
      </c>
      <c r="F105" s="14">
        <v>0</v>
      </c>
      <c r="G105" s="14">
        <v>1</v>
      </c>
      <c r="H105" s="14">
        <v>0</v>
      </c>
    </row>
    <row r="106" spans="1:8" x14ac:dyDescent="0.25">
      <c r="A106" s="2">
        <f t="shared" si="2"/>
        <v>1104</v>
      </c>
      <c r="B106" s="10" t="s">
        <v>41</v>
      </c>
      <c r="C106" s="2" t="s">
        <v>42</v>
      </c>
      <c r="D106" s="2">
        <v>0</v>
      </c>
      <c r="E106" s="2">
        <v>0</v>
      </c>
      <c r="F106" s="2">
        <v>0</v>
      </c>
      <c r="G106" s="2">
        <v>1</v>
      </c>
      <c r="H106" s="2">
        <v>0</v>
      </c>
    </row>
  </sheetData>
  <phoneticPr fontId="3" type="noConversion"/>
  <dataValidations count="1">
    <dataValidation type="list" allowBlank="1" showInputMessage="1" showErrorMessage="1" sqref="F6 F12:F13 F3:F4 F23:F90" xr:uid="{00000000-0002-0000-0000-000000000000}"/>
  </dataValidations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zoomScaleNormal="100" workbookViewId="0">
      <selection activeCell="B21" sqref="B21"/>
    </sheetView>
  </sheetViews>
  <sheetFormatPr defaultColWidth="9" defaultRowHeight="14.4" x14ac:dyDescent="0.25"/>
  <cols>
    <col min="1" max="1" width="14.33203125" customWidth="1"/>
    <col min="2" max="2" width="52" customWidth="1"/>
    <col min="3" max="3" width="68.109375" customWidth="1"/>
    <col min="4" max="4" width="14" customWidth="1"/>
    <col min="5" max="5" width="13.88671875" customWidth="1"/>
    <col min="6" max="6" width="17.6640625" customWidth="1"/>
    <col min="7" max="7" width="14.88671875" customWidth="1"/>
    <col min="8" max="8" width="12.21875" customWidth="1"/>
    <col min="9" max="9" width="8.44140625" customWidth="1"/>
    <col min="10" max="10" width="11" customWidth="1"/>
    <col min="11" max="11" width="11.6640625" customWidth="1"/>
    <col min="12" max="12" width="25.44140625" customWidth="1"/>
    <col min="13" max="13" width="15.77734375" customWidth="1"/>
  </cols>
  <sheetData>
    <row r="1" spans="1:3" ht="17.399999999999999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>
        <f>ROW()-2+2000</f>
        <v>2000</v>
      </c>
      <c r="B2" s="2" t="s">
        <v>43</v>
      </c>
      <c r="C2" s="5" t="s">
        <v>44</v>
      </c>
    </row>
    <row r="3" spans="1:3" x14ac:dyDescent="0.25">
      <c r="A3" s="3">
        <f>ROW()-2+2000</f>
        <v>2001</v>
      </c>
      <c r="B3" s="4" t="s">
        <v>45</v>
      </c>
      <c r="C3" s="3" t="s">
        <v>46</v>
      </c>
    </row>
    <row r="4" spans="1:3" x14ac:dyDescent="0.25">
      <c r="A4" s="3">
        <f t="shared" ref="A4:A16" si="0">ROW()-2+2000</f>
        <v>2002</v>
      </c>
      <c r="B4" s="4" t="s">
        <v>47</v>
      </c>
      <c r="C4" s="4" t="s">
        <v>48</v>
      </c>
    </row>
    <row r="5" spans="1:3" x14ac:dyDescent="0.25">
      <c r="A5" s="3">
        <f t="shared" si="0"/>
        <v>2003</v>
      </c>
      <c r="B5" s="4" t="s">
        <v>291</v>
      </c>
      <c r="C5" s="4" t="s">
        <v>290</v>
      </c>
    </row>
    <row r="6" spans="1:3" x14ac:dyDescent="0.25">
      <c r="A6" s="3">
        <f t="shared" si="0"/>
        <v>2004</v>
      </c>
      <c r="B6" s="4" t="s">
        <v>284</v>
      </c>
      <c r="C6" s="4" t="s">
        <v>292</v>
      </c>
    </row>
    <row r="7" spans="1:3" x14ac:dyDescent="0.25">
      <c r="A7" s="3">
        <f t="shared" si="0"/>
        <v>2005</v>
      </c>
      <c r="B7" s="4" t="s">
        <v>285</v>
      </c>
      <c r="C7" s="4" t="s">
        <v>293</v>
      </c>
    </row>
    <row r="8" spans="1:3" x14ac:dyDescent="0.25">
      <c r="A8" s="3">
        <f t="shared" si="0"/>
        <v>2006</v>
      </c>
      <c r="B8" s="4" t="s">
        <v>286</v>
      </c>
      <c r="C8" s="18" t="s">
        <v>294</v>
      </c>
    </row>
    <row r="9" spans="1:3" x14ac:dyDescent="0.25">
      <c r="A9" s="3">
        <f t="shared" si="0"/>
        <v>2007</v>
      </c>
      <c r="B9" s="4" t="s">
        <v>287</v>
      </c>
      <c r="C9" s="18" t="s">
        <v>295</v>
      </c>
    </row>
    <row r="10" spans="1:3" x14ac:dyDescent="0.25">
      <c r="A10" s="3">
        <f t="shared" si="0"/>
        <v>2008</v>
      </c>
      <c r="B10" s="4" t="s">
        <v>288</v>
      </c>
      <c r="C10" s="18" t="s">
        <v>296</v>
      </c>
    </row>
    <row r="11" spans="1:3" x14ac:dyDescent="0.25">
      <c r="A11" s="3">
        <f t="shared" si="0"/>
        <v>2009</v>
      </c>
      <c r="B11" s="4" t="s">
        <v>289</v>
      </c>
      <c r="C11" s="18" t="s">
        <v>297</v>
      </c>
    </row>
    <row r="12" spans="1:3" x14ac:dyDescent="0.25">
      <c r="A12" s="3">
        <f t="shared" si="0"/>
        <v>2010</v>
      </c>
      <c r="B12" s="14" t="s">
        <v>302</v>
      </c>
      <c r="C12" s="4" t="s">
        <v>49</v>
      </c>
    </row>
    <row r="13" spans="1:3" x14ac:dyDescent="0.25">
      <c r="A13" s="3">
        <f t="shared" si="0"/>
        <v>2011</v>
      </c>
      <c r="B13" s="18" t="s">
        <v>303</v>
      </c>
      <c r="C13" s="18" t="s">
        <v>277</v>
      </c>
    </row>
    <row r="14" spans="1:3" x14ac:dyDescent="0.25">
      <c r="A14" s="3">
        <f t="shared" si="0"/>
        <v>2012</v>
      </c>
      <c r="B14" s="18" t="s">
        <v>304</v>
      </c>
      <c r="C14" s="18" t="s">
        <v>277</v>
      </c>
    </row>
    <row r="15" spans="1:3" x14ac:dyDescent="0.25">
      <c r="A15" s="3">
        <f t="shared" si="0"/>
        <v>2013</v>
      </c>
      <c r="B15" s="14" t="s">
        <v>305</v>
      </c>
      <c r="C15" s="14" t="s">
        <v>279</v>
      </c>
    </row>
    <row r="16" spans="1:3" x14ac:dyDescent="0.25">
      <c r="A16" s="3">
        <f t="shared" si="0"/>
        <v>2014</v>
      </c>
      <c r="B16" s="14" t="s">
        <v>306</v>
      </c>
      <c r="C16" s="14" t="s">
        <v>279</v>
      </c>
    </row>
    <row r="17" spans="1:3" x14ac:dyDescent="0.25">
      <c r="A17" s="2">
        <f t="shared" ref="A17" si="1">ROW()-2+2000</f>
        <v>2015</v>
      </c>
      <c r="B17" s="2" t="s">
        <v>50</v>
      </c>
      <c r="C17" s="5" t="s">
        <v>51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7"/>
  <sheetViews>
    <sheetView topLeftCell="A7" workbookViewId="0">
      <selection activeCell="D29" sqref="D29"/>
    </sheetView>
  </sheetViews>
  <sheetFormatPr defaultColWidth="9" defaultRowHeight="14.4" x14ac:dyDescent="0.25"/>
  <cols>
    <col min="1" max="1" width="14.44140625" customWidth="1"/>
    <col min="2" max="2" width="47.88671875" bestFit="1" customWidth="1"/>
    <col min="3" max="3" width="36.88671875" bestFit="1" customWidth="1"/>
    <col min="4" max="4" width="20.44140625" customWidth="1"/>
    <col min="5" max="5" width="30.44140625" customWidth="1"/>
    <col min="6" max="6" width="32" customWidth="1"/>
    <col min="7" max="7" width="28.21875" customWidth="1"/>
    <col min="8" max="8" width="24.44140625" customWidth="1"/>
    <col min="9" max="9" width="18.6640625" customWidth="1"/>
    <col min="10" max="10" width="15.109375" customWidth="1"/>
  </cols>
  <sheetData>
    <row r="1" spans="1:3" ht="30" customHeight="1" x14ac:dyDescent="0.25">
      <c r="A1" s="1" t="s">
        <v>0</v>
      </c>
      <c r="B1" s="1" t="s">
        <v>52</v>
      </c>
      <c r="C1" s="1" t="s">
        <v>53</v>
      </c>
    </row>
    <row r="2" spans="1:3" x14ac:dyDescent="0.25">
      <c r="A2" s="2">
        <f>ROW()-2+3000</f>
        <v>3000</v>
      </c>
      <c r="B2" s="11" t="s">
        <v>182</v>
      </c>
      <c r="C2" s="11" t="s">
        <v>193</v>
      </c>
    </row>
    <row r="3" spans="1:3" x14ac:dyDescent="0.25">
      <c r="A3" s="2">
        <f>ROW()-2+3000</f>
        <v>3001</v>
      </c>
      <c r="B3" s="11" t="s">
        <v>187</v>
      </c>
      <c r="C3" s="11" t="s">
        <v>260</v>
      </c>
    </row>
    <row r="4" spans="1:3" x14ac:dyDescent="0.25">
      <c r="A4" s="3">
        <f>ROW()-2+3000</f>
        <v>3002</v>
      </c>
      <c r="B4" s="13" t="s">
        <v>181</v>
      </c>
      <c r="C4" s="12" t="s">
        <v>67</v>
      </c>
    </row>
    <row r="5" spans="1:3" x14ac:dyDescent="0.25">
      <c r="A5" s="3">
        <f t="shared" ref="A5:A6" si="0">ROW()-2+3000</f>
        <v>3003</v>
      </c>
      <c r="B5" s="12" t="s">
        <v>68</v>
      </c>
      <c r="C5" s="12" t="s">
        <v>69</v>
      </c>
    </row>
    <row r="6" spans="1:3" x14ac:dyDescent="0.25">
      <c r="A6" s="3">
        <f t="shared" si="0"/>
        <v>3004</v>
      </c>
      <c r="B6" s="12" t="s">
        <v>70</v>
      </c>
      <c r="C6" s="12" t="s">
        <v>71</v>
      </c>
    </row>
    <row r="7" spans="1:3" x14ac:dyDescent="0.25">
      <c r="A7" s="2">
        <f>ROW()-2+3000</f>
        <v>3005</v>
      </c>
      <c r="B7" s="11" t="s">
        <v>188</v>
      </c>
      <c r="C7" s="11" t="s">
        <v>186</v>
      </c>
    </row>
    <row r="8" spans="1:3" x14ac:dyDescent="0.25">
      <c r="A8" s="2">
        <f>ROW()-2+3000</f>
        <v>3006</v>
      </c>
      <c r="B8" s="11" t="s">
        <v>189</v>
      </c>
      <c r="C8" s="11" t="s">
        <v>190</v>
      </c>
    </row>
    <row r="9" spans="1:3" x14ac:dyDescent="0.25">
      <c r="A9" s="17">
        <f t="shared" ref="A9:A15" si="1">ROW()-2+3000</f>
        <v>3007</v>
      </c>
      <c r="B9" s="17" t="s">
        <v>87</v>
      </c>
      <c r="C9" s="17" t="s">
        <v>72</v>
      </c>
    </row>
    <row r="10" spans="1:3" x14ac:dyDescent="0.25">
      <c r="A10" s="3">
        <f t="shared" si="1"/>
        <v>3008</v>
      </c>
      <c r="B10" s="13" t="s">
        <v>73</v>
      </c>
      <c r="C10" s="13" t="s">
        <v>74</v>
      </c>
    </row>
    <row r="11" spans="1:3" x14ac:dyDescent="0.25">
      <c r="A11" s="3">
        <f t="shared" si="1"/>
        <v>3009</v>
      </c>
      <c r="B11" s="13" t="s">
        <v>75</v>
      </c>
      <c r="C11" s="13" t="s">
        <v>76</v>
      </c>
    </row>
    <row r="12" spans="1:3" x14ac:dyDescent="0.25">
      <c r="A12" s="3">
        <f t="shared" si="1"/>
        <v>3010</v>
      </c>
      <c r="B12" s="13" t="s">
        <v>235</v>
      </c>
      <c r="C12" s="15" t="s">
        <v>234</v>
      </c>
    </row>
    <row r="13" spans="1:3" x14ac:dyDescent="0.25">
      <c r="A13" s="3">
        <f t="shared" si="1"/>
        <v>3011</v>
      </c>
      <c r="B13" s="13" t="s">
        <v>77</v>
      </c>
      <c r="C13" s="13" t="s">
        <v>233</v>
      </c>
    </row>
    <row r="14" spans="1:3" x14ac:dyDescent="0.25">
      <c r="A14" s="3">
        <f t="shared" si="1"/>
        <v>3012</v>
      </c>
      <c r="B14" s="13" t="s">
        <v>78</v>
      </c>
      <c r="C14" s="13" t="s">
        <v>79</v>
      </c>
    </row>
    <row r="15" spans="1:3" x14ac:dyDescent="0.25">
      <c r="A15" s="3">
        <f t="shared" si="1"/>
        <v>3013</v>
      </c>
      <c r="B15" s="13" t="s">
        <v>236</v>
      </c>
      <c r="C15" s="13" t="s">
        <v>237</v>
      </c>
    </row>
    <row r="16" spans="1:3" x14ac:dyDescent="0.25">
      <c r="A16" s="3">
        <f t="shared" ref="A16:A23" si="2">ROW()-2+3000</f>
        <v>3014</v>
      </c>
      <c r="B16" s="13" t="s">
        <v>80</v>
      </c>
      <c r="C16" s="13" t="s">
        <v>54</v>
      </c>
    </row>
    <row r="17" spans="1:3" x14ac:dyDescent="0.25">
      <c r="A17" s="3">
        <f t="shared" si="2"/>
        <v>3015</v>
      </c>
      <c r="B17" s="13" t="s">
        <v>81</v>
      </c>
      <c r="C17" s="13" t="s">
        <v>82</v>
      </c>
    </row>
    <row r="18" spans="1:3" x14ac:dyDescent="0.25">
      <c r="A18" s="3">
        <f t="shared" si="2"/>
        <v>3016</v>
      </c>
      <c r="B18" s="13" t="s">
        <v>83</v>
      </c>
      <c r="C18" s="13" t="s">
        <v>84</v>
      </c>
    </row>
    <row r="19" spans="1:3" x14ac:dyDescent="0.25">
      <c r="A19" s="3">
        <f t="shared" si="2"/>
        <v>3017</v>
      </c>
      <c r="B19" s="13" t="s">
        <v>85</v>
      </c>
      <c r="C19" s="13" t="s">
        <v>86</v>
      </c>
    </row>
    <row r="20" spans="1:3" x14ac:dyDescent="0.25">
      <c r="A20" s="3">
        <f t="shared" si="2"/>
        <v>3018</v>
      </c>
      <c r="B20" s="13" t="s">
        <v>229</v>
      </c>
      <c r="C20" s="13" t="s">
        <v>230</v>
      </c>
    </row>
    <row r="21" spans="1:3" x14ac:dyDescent="0.25">
      <c r="A21" s="3">
        <f t="shared" si="2"/>
        <v>3019</v>
      </c>
      <c r="B21" s="13" t="s">
        <v>231</v>
      </c>
      <c r="C21" s="13" t="s">
        <v>232</v>
      </c>
    </row>
    <row r="22" spans="1:3" x14ac:dyDescent="0.25">
      <c r="A22" s="3">
        <f t="shared" si="2"/>
        <v>3020</v>
      </c>
      <c r="B22" s="13" t="s">
        <v>258</v>
      </c>
      <c r="C22" s="13" t="s">
        <v>259</v>
      </c>
    </row>
    <row r="23" spans="1:3" x14ac:dyDescent="0.25">
      <c r="A23" s="3">
        <f t="shared" si="2"/>
        <v>3021</v>
      </c>
      <c r="B23" s="13" t="s">
        <v>326</v>
      </c>
      <c r="C23" s="13" t="s">
        <v>325</v>
      </c>
    </row>
    <row r="24" spans="1:3" x14ac:dyDescent="0.25">
      <c r="A24" s="2">
        <f>ROW()-2+3000</f>
        <v>3022</v>
      </c>
      <c r="B24" s="11" t="s">
        <v>191</v>
      </c>
      <c r="C24" s="11" t="s">
        <v>192</v>
      </c>
    </row>
    <row r="25" spans="1:3" x14ac:dyDescent="0.25">
      <c r="A25" s="3">
        <f t="shared" ref="A25:A27" si="3">ROW()-2+3000</f>
        <v>3023</v>
      </c>
      <c r="B25" s="14" t="s">
        <v>183</v>
      </c>
      <c r="C25" s="3" t="s">
        <v>55</v>
      </c>
    </row>
    <row r="26" spans="1:3" x14ac:dyDescent="0.25">
      <c r="A26" s="3">
        <f t="shared" si="3"/>
        <v>3024</v>
      </c>
      <c r="B26" s="14" t="s">
        <v>184</v>
      </c>
      <c r="C26" s="3" t="s">
        <v>56</v>
      </c>
    </row>
    <row r="27" spans="1:3" x14ac:dyDescent="0.25">
      <c r="A27" s="11">
        <f t="shared" si="3"/>
        <v>3025</v>
      </c>
      <c r="B27" s="11" t="s">
        <v>185</v>
      </c>
      <c r="C27" s="11" t="s">
        <v>194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9"/>
  <sheetViews>
    <sheetView zoomScaleNormal="100" workbookViewId="0">
      <selection activeCell="G28" sqref="G28"/>
    </sheetView>
  </sheetViews>
  <sheetFormatPr defaultColWidth="9" defaultRowHeight="14.4" x14ac:dyDescent="0.25"/>
  <cols>
    <col min="1" max="1" width="14.21875" customWidth="1"/>
    <col min="2" max="2" width="40.44140625" customWidth="1"/>
    <col min="3" max="3" width="34.109375" customWidth="1"/>
  </cols>
  <sheetData>
    <row r="1" spans="1:3" ht="17.399999999999999" x14ac:dyDescent="0.25">
      <c r="A1" s="1" t="s">
        <v>0</v>
      </c>
      <c r="B1" s="1" t="s">
        <v>52</v>
      </c>
      <c r="C1" s="1" t="s">
        <v>53</v>
      </c>
    </row>
    <row r="2" spans="1:3" x14ac:dyDescent="0.25">
      <c r="A2" s="2">
        <f>ROW()-2+4000</f>
        <v>4000</v>
      </c>
      <c r="B2" s="2" t="s">
        <v>57</v>
      </c>
      <c r="C2" s="2" t="s">
        <v>58</v>
      </c>
    </row>
    <row r="3" spans="1:3" ht="13.95" customHeight="1" x14ac:dyDescent="0.25">
      <c r="A3" s="3">
        <f t="shared" ref="A3:A14" si="0">ROW()-2+4000</f>
        <v>4001</v>
      </c>
      <c r="B3" s="13" t="s">
        <v>59</v>
      </c>
      <c r="C3" s="13" t="s">
        <v>60</v>
      </c>
    </row>
    <row r="4" spans="1:3" ht="13.95" customHeight="1" x14ac:dyDescent="0.25">
      <c r="A4" s="3">
        <f t="shared" si="0"/>
        <v>4002</v>
      </c>
      <c r="B4" s="13" t="s">
        <v>61</v>
      </c>
      <c r="C4" s="13" t="s">
        <v>62</v>
      </c>
    </row>
    <row r="5" spans="1:3" ht="13.95" customHeight="1" x14ac:dyDescent="0.25">
      <c r="A5" s="3">
        <f t="shared" si="0"/>
        <v>4003</v>
      </c>
      <c r="B5" s="13" t="s">
        <v>63</v>
      </c>
      <c r="C5" s="13" t="s">
        <v>64</v>
      </c>
    </row>
    <row r="6" spans="1:3" ht="13.95" customHeight="1" x14ac:dyDescent="0.25">
      <c r="A6" s="3">
        <f t="shared" si="0"/>
        <v>4004</v>
      </c>
      <c r="B6" s="13" t="s">
        <v>88</v>
      </c>
      <c r="C6" s="13" t="s">
        <v>89</v>
      </c>
    </row>
    <row r="7" spans="1:3" ht="13.95" customHeight="1" x14ac:dyDescent="0.25">
      <c r="A7" s="3">
        <f t="shared" si="0"/>
        <v>4005</v>
      </c>
      <c r="B7" s="13" t="s">
        <v>90</v>
      </c>
      <c r="C7" s="13" t="s">
        <v>91</v>
      </c>
    </row>
    <row r="8" spans="1:3" ht="13.95" customHeight="1" x14ac:dyDescent="0.25">
      <c r="A8" s="3">
        <f t="shared" si="0"/>
        <v>4006</v>
      </c>
      <c r="B8" s="13" t="s">
        <v>92</v>
      </c>
      <c r="C8" s="13" t="s">
        <v>93</v>
      </c>
    </row>
    <row r="9" spans="1:3" ht="13.95" customHeight="1" x14ac:dyDescent="0.25">
      <c r="A9" s="3">
        <f t="shared" si="0"/>
        <v>4007</v>
      </c>
      <c r="B9" s="13" t="s">
        <v>94</v>
      </c>
      <c r="C9" s="13" t="s">
        <v>95</v>
      </c>
    </row>
    <row r="10" spans="1:3" ht="13.95" customHeight="1" x14ac:dyDescent="0.25">
      <c r="A10" s="3">
        <f t="shared" si="0"/>
        <v>4008</v>
      </c>
      <c r="B10" s="13" t="s">
        <v>96</v>
      </c>
      <c r="C10" s="13" t="s">
        <v>97</v>
      </c>
    </row>
    <row r="11" spans="1:3" ht="13.95" customHeight="1" x14ac:dyDescent="0.25">
      <c r="A11" s="3">
        <f t="shared" si="0"/>
        <v>4009</v>
      </c>
      <c r="B11" s="13" t="s">
        <v>195</v>
      </c>
      <c r="C11" s="13" t="s">
        <v>98</v>
      </c>
    </row>
    <row r="12" spans="1:3" ht="13.95" customHeight="1" x14ac:dyDescent="0.25">
      <c r="A12" s="3">
        <f t="shared" si="0"/>
        <v>4010</v>
      </c>
      <c r="B12" s="13" t="s">
        <v>196</v>
      </c>
      <c r="C12" s="13" t="s">
        <v>98</v>
      </c>
    </row>
    <row r="13" spans="1:3" ht="13.95" customHeight="1" x14ac:dyDescent="0.25">
      <c r="A13" s="3">
        <f t="shared" si="0"/>
        <v>4011</v>
      </c>
      <c r="B13" s="13" t="s">
        <v>244</v>
      </c>
      <c r="C13" s="13" t="s">
        <v>99</v>
      </c>
    </row>
    <row r="14" spans="1:3" ht="13.95" customHeight="1" x14ac:dyDescent="0.25">
      <c r="A14" s="3">
        <f t="shared" si="0"/>
        <v>4012</v>
      </c>
      <c r="B14" s="13" t="s">
        <v>245</v>
      </c>
      <c r="C14" s="13" t="s">
        <v>100</v>
      </c>
    </row>
    <row r="15" spans="1:3" ht="13.95" customHeight="1" x14ac:dyDescent="0.25">
      <c r="A15" s="13">
        <f t="shared" ref="A15:A29" si="1">ROW()-2+4000</f>
        <v>4013</v>
      </c>
      <c r="B15" s="13" t="s">
        <v>246</v>
      </c>
      <c r="C15" s="13" t="s">
        <v>101</v>
      </c>
    </row>
    <row r="16" spans="1:3" ht="13.95" customHeight="1" x14ac:dyDescent="0.25">
      <c r="A16" s="13">
        <f t="shared" si="1"/>
        <v>4014</v>
      </c>
      <c r="B16" s="13" t="s">
        <v>247</v>
      </c>
      <c r="C16" s="13" t="s">
        <v>102</v>
      </c>
    </row>
    <row r="17" spans="1:3" x14ac:dyDescent="0.25">
      <c r="A17" s="13">
        <f t="shared" si="1"/>
        <v>4015</v>
      </c>
      <c r="B17" s="13" t="s">
        <v>103</v>
      </c>
      <c r="C17" s="13" t="s">
        <v>104</v>
      </c>
    </row>
    <row r="18" spans="1:3" x14ac:dyDescent="0.25">
      <c r="A18" s="13">
        <f t="shared" si="1"/>
        <v>4016</v>
      </c>
      <c r="B18" s="13" t="s">
        <v>105</v>
      </c>
      <c r="C18" s="13" t="s">
        <v>106</v>
      </c>
    </row>
    <row r="19" spans="1:3" x14ac:dyDescent="0.25">
      <c r="A19" s="13">
        <f t="shared" si="1"/>
        <v>4017</v>
      </c>
      <c r="B19" s="13" t="s">
        <v>107</v>
      </c>
      <c r="C19" s="13" t="s">
        <v>108</v>
      </c>
    </row>
    <row r="20" spans="1:3" x14ac:dyDescent="0.25">
      <c r="A20" s="13">
        <f t="shared" si="1"/>
        <v>4018</v>
      </c>
      <c r="B20" s="13" t="s">
        <v>109</v>
      </c>
      <c r="C20" s="13" t="s">
        <v>110</v>
      </c>
    </row>
    <row r="21" spans="1:3" x14ac:dyDescent="0.25">
      <c r="A21" s="13">
        <f t="shared" si="1"/>
        <v>4019</v>
      </c>
      <c r="B21" s="13" t="s">
        <v>197</v>
      </c>
      <c r="C21" s="13" t="s">
        <v>205</v>
      </c>
    </row>
    <row r="22" spans="1:3" x14ac:dyDescent="0.25">
      <c r="A22" s="13">
        <f t="shared" si="1"/>
        <v>4020</v>
      </c>
      <c r="B22" s="13" t="s">
        <v>198</v>
      </c>
      <c r="C22" s="13" t="s">
        <v>206</v>
      </c>
    </row>
    <row r="23" spans="1:3" x14ac:dyDescent="0.25">
      <c r="A23" s="13">
        <f t="shared" si="1"/>
        <v>4021</v>
      </c>
      <c r="B23" s="13" t="s">
        <v>199</v>
      </c>
      <c r="C23" s="13" t="s">
        <v>207</v>
      </c>
    </row>
    <row r="24" spans="1:3" x14ac:dyDescent="0.25">
      <c r="A24" s="13">
        <f t="shared" si="1"/>
        <v>4022</v>
      </c>
      <c r="B24" s="13" t="s">
        <v>200</v>
      </c>
      <c r="C24" s="13" t="s">
        <v>208</v>
      </c>
    </row>
    <row r="25" spans="1:3" x14ac:dyDescent="0.25">
      <c r="A25" s="13">
        <f t="shared" si="1"/>
        <v>4023</v>
      </c>
      <c r="B25" s="13" t="s">
        <v>201</v>
      </c>
      <c r="C25" s="13" t="s">
        <v>209</v>
      </c>
    </row>
    <row r="26" spans="1:3" x14ac:dyDescent="0.25">
      <c r="A26" s="13">
        <f t="shared" si="1"/>
        <v>4024</v>
      </c>
      <c r="B26" s="13" t="s">
        <v>202</v>
      </c>
      <c r="C26" s="13" t="s">
        <v>210</v>
      </c>
    </row>
    <row r="27" spans="1:3" x14ac:dyDescent="0.25">
      <c r="A27" s="13">
        <f t="shared" si="1"/>
        <v>4025</v>
      </c>
      <c r="B27" s="13" t="s">
        <v>203</v>
      </c>
      <c r="C27" s="13" t="s">
        <v>211</v>
      </c>
    </row>
    <row r="28" spans="1:3" x14ac:dyDescent="0.25">
      <c r="A28" s="13">
        <f t="shared" si="1"/>
        <v>4026</v>
      </c>
      <c r="B28" s="13" t="s">
        <v>204</v>
      </c>
      <c r="C28" s="13" t="s">
        <v>212</v>
      </c>
    </row>
    <row r="29" spans="1:3" x14ac:dyDescent="0.25">
      <c r="A29" s="2">
        <f t="shared" si="1"/>
        <v>4027</v>
      </c>
      <c r="B29" s="16" t="s">
        <v>65</v>
      </c>
      <c r="C29" s="16" t="s">
        <v>66</v>
      </c>
    </row>
  </sheetData>
  <phoneticPr fontId="3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M20" sqref="M20"/>
    </sheetView>
  </sheetViews>
  <sheetFormatPr defaultColWidth="9" defaultRowHeight="14.4" x14ac:dyDescent="0.25"/>
  <sheetData/>
  <phoneticPr fontId="3" type="noConversion"/>
  <pageMargins left="0.69930555555555596" right="0.69930555555555596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寄存器表（参数）</vt:lpstr>
      <vt:lpstr>寄存器表（实时寄存器数据）</vt:lpstr>
      <vt:lpstr>开关量表（常规告警、特殊告警）</vt:lpstr>
      <vt:lpstr>开关量表（信号状态）</vt:lpstr>
      <vt:lpstr>#生成配置文件#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qjwu</cp:lastModifiedBy>
  <dcterms:created xsi:type="dcterms:W3CDTF">2006-09-13T11:21:00Z</dcterms:created>
  <dcterms:modified xsi:type="dcterms:W3CDTF">2025-12-19T01:28:04Z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2052-12.1.0.17857</vt:lpwstr>
  </property>
  <property fmtid="{D5CDD505-2E9C-101B-9397-08002B2CF9AE}" pid="3" name="ICV">
    <vt:lpwstr>E969FA9886724C0A86DB39E94CE75DE4</vt:lpwstr>
  </property>
</Properties>
</file>